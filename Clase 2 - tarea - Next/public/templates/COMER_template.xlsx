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ESTUDIO REGGI Dropbox\Carpeta del equipo ESTUDIO REGGI\ESTUDIO REGGI\CLIENTES\ESTUDIO REGGI SAS\2026\"/>
    </mc:Choice>
  </mc:AlternateContent>
  <xr:revisionPtr revIDLastSave="0" documentId="13_ncr:1_{38B911DA-E901-4C4A-97C9-2F37381ED1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ras" sheetId="1" r:id="rId1"/>
  </sheets>
  <externalReferences>
    <externalReference r:id="rId2"/>
  </externalReferences>
  <definedNames>
    <definedName name="_xlnm._FilterDatabase" localSheetId="0" hidden="1">Compras!$A$6:$P$18</definedName>
    <definedName name="_xlnm.Print_Area" localSheetId="0">Compras!$A$1:$O$24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G17" i="1"/>
  <c r="G16" i="1"/>
  <c r="G15" i="1"/>
  <c r="G14" i="1"/>
  <c r="G13" i="1"/>
  <c r="G12" i="1"/>
  <c r="G20" i="1" s="1"/>
  <c r="G11" i="1"/>
  <c r="G10" i="1"/>
  <c r="G9" i="1"/>
  <c r="G8" i="1"/>
  <c r="G7" i="1"/>
  <c r="C42" i="1"/>
  <c r="C49" i="1" s="1"/>
  <c r="B36" i="1"/>
  <c r="C27" i="1"/>
  <c r="C26" i="1"/>
  <c r="C25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C28" i="1" s="1"/>
  <c r="J20" i="1"/>
  <c r="I20" i="1"/>
  <c r="H20" i="1"/>
</calcChain>
</file>

<file path=xl/sharedStrings.xml><?xml version="1.0" encoding="utf-8"?>
<sst xmlns="http://schemas.openxmlformats.org/spreadsheetml/2006/main" count="64" uniqueCount="64">
  <si>
    <t>ESTUDIO REGGI SAS</t>
  </si>
  <si>
    <t>FECHA</t>
  </si>
  <si>
    <t>TIPO COMP.</t>
  </si>
  <si>
    <t>PTO. VTA.</t>
  </si>
  <si>
    <t>NRO. COMP.</t>
  </si>
  <si>
    <t>CUIT</t>
  </si>
  <si>
    <t>DESCRIPCION</t>
  </si>
  <si>
    <t>TOTAL</t>
  </si>
  <si>
    <t>BI</t>
  </si>
  <si>
    <t>IVA 21%</t>
  </si>
  <si>
    <t>IVA 10.5%</t>
  </si>
  <si>
    <t>IVA 27%</t>
  </si>
  <si>
    <t>IVA NO COMP.</t>
  </si>
  <si>
    <t>IVA PROR.</t>
  </si>
  <si>
    <t>PERC. IVA</t>
  </si>
  <si>
    <t>PERC. GCIAS.</t>
  </si>
  <si>
    <t>PERC. IIBB 901</t>
  </si>
  <si>
    <t>PERC. IIBB 902</t>
  </si>
  <si>
    <t>PERC. IIBB 903</t>
  </si>
  <si>
    <t>PERC. IIBB 904</t>
  </si>
  <si>
    <t>PERC. IIBB 905</t>
  </si>
  <si>
    <t>PERC. IIBB 906</t>
  </si>
  <si>
    <t>PERC. IIBB 907</t>
  </si>
  <si>
    <t>PERC. IIBB 908</t>
  </si>
  <si>
    <t>PERC. IIBB 909</t>
  </si>
  <si>
    <t>PERC. IIBB 910</t>
  </si>
  <si>
    <t>PERC. IIBB 911</t>
  </si>
  <si>
    <t>PERC. IIBB 912</t>
  </si>
  <si>
    <t>PERC. IIBB 913</t>
  </si>
  <si>
    <t>PERC. IIBB 914</t>
  </si>
  <si>
    <t>PERC. IIBB 915</t>
  </si>
  <si>
    <t>PERC. IIBB 916</t>
  </si>
  <si>
    <t>PERC. IIBB 917</t>
  </si>
  <si>
    <t>PERC. IIBB 918</t>
  </si>
  <si>
    <t>PERC. IIBB 919</t>
  </si>
  <si>
    <t>PERC. IIBB 920</t>
  </si>
  <si>
    <t>PERC. IIBB 921</t>
  </si>
  <si>
    <t>PERC. IIBB 922</t>
  </si>
  <si>
    <t>PERC. IIBB 923</t>
  </si>
  <si>
    <t>PERC. IIBB 924</t>
  </si>
  <si>
    <t xml:space="preserve">  G. ESCR.</t>
  </si>
  <si>
    <t xml:space="preserve">   G. GRAL.</t>
  </si>
  <si>
    <t>NO GRAV.</t>
  </si>
  <si>
    <t>CONCEPTOS</t>
  </si>
  <si>
    <t>TOTALES</t>
  </si>
  <si>
    <t>PRELIQUIDACION ESTUDIO REGGI</t>
  </si>
  <si>
    <t>DIF</t>
  </si>
  <si>
    <t>IVA DF</t>
  </si>
  <si>
    <t>IVA CF 21%</t>
  </si>
  <si>
    <t>IVA CF 10,5%</t>
  </si>
  <si>
    <t>IVA CF 27%</t>
  </si>
  <si>
    <t>PERC IVA</t>
  </si>
  <si>
    <t>RET IVA</t>
  </si>
  <si>
    <t>SF TECNICO</t>
  </si>
  <si>
    <t>SF LD</t>
  </si>
  <si>
    <t>SALDO</t>
  </si>
  <si>
    <t>IVA DIFERIDO</t>
  </si>
  <si>
    <t>Servicios Empresariales n.c.p.</t>
  </si>
  <si>
    <t>PRELIQUIDACION ESTUDIO REGGI SAS IIBB</t>
  </si>
  <si>
    <t>BASE IMPONIBLE</t>
  </si>
  <si>
    <t>IMPTO DET.</t>
  </si>
  <si>
    <t>RET / PERC IIBB</t>
  </si>
  <si>
    <t>SF ANTERIOR</t>
  </si>
  <si>
    <t>SALDO IIBB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</si>
</sst>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b/>
      <u/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/>
    <xf numFmtId="0" fontId="7" fillId="0" borderId="0"/>
  </cellStyleXfs>
  <cellXfs count="75">
    <xf numFmtId="0" fontId="0" fillId="0" borderId="0" xfId="0"/>
    <xf numFmtId="14" fontId="0" fillId="0" borderId="0" xfId="0" applyNumberFormat="1"/>
    <xf numFmtId="0" fontId="3" fillId="0" borderId="0" xfId="0" applyFont="1"/>
    <xf numFmtId="4" fontId="2" fillId="0" borderId="1" xfId="1" applyNumberFormat="1" applyFont="1" applyBorder="1" applyAlignment="1">
      <alignment vertical="center" wrapText="1"/>
    </xf>
    <xf numFmtId="0" fontId="5" fillId="0" borderId="0" xfId="0" applyFont="1"/>
    <xf numFmtId="4" fontId="0" fillId="0" borderId="2" xfId="0" applyNumberFormat="1" applyBorder="1"/>
    <xf numFmtId="0" fontId="0" fillId="0" borderId="14" xfId="0" applyBorder="1"/>
    <xf numFmtId="4" fontId="0" fillId="0" borderId="10" xfId="0" applyNumberFormat="1" applyBorder="1"/>
    <xf numFmtId="4" fontId="0" fillId="0" borderId="0" xfId="0" applyNumberFormat="1"/>
    <xf numFmtId="0" fontId="0" fillId="0" borderId="15" xfId="0" applyBorder="1"/>
    <xf numFmtId="0" fontId="0" fillId="2" borderId="0" xfId="0" applyFill="1"/>
    <xf numFmtId="4" fontId="6" fillId="0" borderId="15" xfId="0" applyNumberFormat="1" applyFont="1" applyBorder="1"/>
    <xf numFmtId="4" fontId="6" fillId="0" borderId="10" xfId="0" applyNumberFormat="1" applyFont="1" applyBorder="1"/>
    <xf numFmtId="0" fontId="4" fillId="0" borderId="0" xfId="0" applyFont="1" applyAlignment="1">
      <alignment horizontal="center" vertical="center"/>
    </xf>
    <xf numFmtId="4" fontId="0" fillId="0" borderId="13" xfId="0" applyNumberFormat="1" applyBorder="1"/>
    <xf numFmtId="4" fontId="0" fillId="0" borderId="9" xfId="0" applyNumberFormat="1" applyBorder="1"/>
    <xf numFmtId="4" fontId="0" fillId="0" borderId="14" xfId="0" applyNumberFormat="1" applyBorder="1"/>
    <xf numFmtId="0" fontId="4" fillId="0" borderId="0" xfId="0" applyFont="1" applyAlignment="1">
      <alignment horizontal="center" vertical="center" wrapText="1"/>
    </xf>
    <xf numFmtId="4" fontId="4" fillId="0" borderId="0" xfId="1" applyNumberFormat="1" applyFont="1"/>
    <xf numFmtId="0" fontId="2" fillId="0" borderId="16" xfId="0" applyFont="1" applyBorder="1" applyAlignment="1">
      <alignment horizontal="center"/>
    </xf>
    <xf numFmtId="4" fontId="0" fillId="0" borderId="19" xfId="0" applyNumberFormat="1" applyBorder="1"/>
    <xf numFmtId="4" fontId="0" fillId="0" borderId="21" xfId="0" applyNumberFormat="1" applyBorder="1"/>
    <xf numFmtId="0" fontId="11" fillId="0" borderId="33" xfId="0" applyFont="1" applyBorder="1"/>
    <xf numFmtId="4" fontId="11" fillId="0" borderId="33" xfId="0" applyNumberFormat="1" applyFont="1" applyBorder="1"/>
    <xf numFmtId="9" fontId="11" fillId="0" borderId="33" xfId="0" applyNumberFormat="1" applyFont="1" applyBorder="1"/>
    <xf numFmtId="0" fontId="9" fillId="0" borderId="24" xfId="0" applyFont="1" applyBorder="1"/>
    <xf numFmtId="0" fontId="9" fillId="0" borderId="25" xfId="0" applyFont="1" applyBorder="1"/>
    <xf numFmtId="0" fontId="10" fillId="0" borderId="26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4" fontId="9" fillId="0" borderId="28" xfId="0" applyNumberFormat="1" applyFont="1" applyBorder="1"/>
    <xf numFmtId="0" fontId="9" fillId="0" borderId="29" xfId="0" applyFont="1" applyBorder="1"/>
    <xf numFmtId="0" fontId="9" fillId="0" borderId="30" xfId="0" applyFont="1" applyBorder="1"/>
    <xf numFmtId="4" fontId="9" fillId="0" borderId="31" xfId="0" applyNumberFormat="1" applyFont="1" applyBorder="1"/>
    <xf numFmtId="4" fontId="10" fillId="0" borderId="23" xfId="0" applyNumberFormat="1" applyFont="1" applyBorder="1"/>
    <xf numFmtId="0" fontId="1" fillId="0" borderId="0" xfId="0" applyFont="1"/>
    <xf numFmtId="17" fontId="12" fillId="0" borderId="0" xfId="0" applyNumberFormat="1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16" fontId="1" fillId="0" borderId="7" xfId="0" applyNumberFormat="1" applyFont="1" applyBorder="1" applyAlignment="1">
      <alignment horizontal="right"/>
    </xf>
    <xf numFmtId="0" fontId="1" fillId="0" borderId="6" xfId="0" applyFont="1" applyBorder="1"/>
    <xf numFmtId="0" fontId="1" fillId="0" borderId="8" xfId="0" applyFont="1" applyBorder="1"/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14" fontId="15" fillId="0" borderId="14" xfId="0" quotePrefix="1" applyNumberFormat="1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4" fontId="15" fillId="0" borderId="0" xfId="1" applyNumberFormat="1" applyFont="1" applyAlignment="1">
      <alignment vertical="center" wrapText="1"/>
    </xf>
    <xf numFmtId="4" fontId="15" fillId="0" borderId="1" xfId="1" applyNumberFormat="1" applyFont="1" applyBorder="1" applyAlignment="1">
      <alignment vertical="center" wrapText="1"/>
    </xf>
    <xf numFmtId="4" fontId="15" fillId="0" borderId="1" xfId="0" applyNumberFormat="1" applyFont="1" applyBorder="1" applyAlignment="1">
      <alignment vertical="center" wrapText="1"/>
    </xf>
    <xf numFmtId="4" fontId="15" fillId="0" borderId="18" xfId="0" applyNumberFormat="1" applyFont="1" applyBorder="1" applyAlignment="1">
      <alignment vertical="center" wrapText="1"/>
    </xf>
    <xf numFmtId="4" fontId="15" fillId="0" borderId="2" xfId="0" applyNumberFormat="1" applyFont="1" applyBorder="1" applyAlignment="1">
      <alignment vertical="center" wrapText="1"/>
    </xf>
    <xf numFmtId="4" fontId="14" fillId="0" borderId="2" xfId="0" applyNumberFormat="1" applyFont="1" applyBorder="1"/>
    <xf numFmtId="14" fontId="15" fillId="0" borderId="14" xfId="0" applyNumberFormat="1" applyFont="1" applyBorder="1" applyAlignment="1">
      <alignment horizontal="center" vertical="center" wrapText="1"/>
    </xf>
    <xf numFmtId="4" fontId="2" fillId="0" borderId="5" xfId="1" applyNumberFormat="1" applyFont="1" applyBorder="1" applyAlignment="1">
      <alignment horizontal="right"/>
    </xf>
    <xf numFmtId="4" fontId="2" fillId="0" borderId="5" xfId="0" applyNumberFormat="1" applyFont="1" applyBorder="1" applyAlignment="1">
      <alignment horizontal="right"/>
    </xf>
    <xf numFmtId="4" fontId="6" fillId="0" borderId="4" xfId="0" applyNumberFormat="1" applyFont="1" applyBorder="1" applyAlignment="1">
      <alignment horizontal="right"/>
    </xf>
    <xf numFmtId="0" fontId="13" fillId="0" borderId="16" xfId="0" applyFont="1" applyBorder="1" applyAlignment="1">
      <alignment horizontal="center" vertical="center" wrapText="1"/>
    </xf>
    <xf numFmtId="0" fontId="0" fillId="0" borderId="3" xfId="0" applyBorder="1"/>
    <xf numFmtId="0" fontId="0" fillId="0" borderId="12" xfId="0" applyBorder="1"/>
    <xf numFmtId="0" fontId="8" fillId="0" borderId="22" xfId="0" applyFont="1" applyBorder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0" fillId="0" borderId="0" xfId="0"/>
    <xf numFmtId="0" fontId="6" fillId="0" borderId="16" xfId="0" applyFont="1" applyBorder="1" applyAlignment="1">
      <alignment horizontal="center"/>
    </xf>
    <xf numFmtId="9" fontId="9" fillId="0" borderId="27" xfId="0" applyNumberFormat="1" applyFont="1" applyBorder="1" applyAlignment="1">
      <alignment horizontal="center"/>
    </xf>
    <xf numFmtId="0" fontId="0" fillId="0" borderId="20" xfId="0" applyBorder="1"/>
    <xf numFmtId="0" fontId="10" fillId="0" borderId="32" xfId="0" applyFont="1" applyBorder="1" applyAlignment="1">
      <alignment horizontal="center"/>
    </xf>
    <xf numFmtId="0" fontId="9" fillId="0" borderId="27" xfId="0" applyFont="1" applyBorder="1" applyAlignment="1">
      <alignment horizontal="center"/>
    </xf>
  </cellXfs>
  <cellStyles count="3">
    <cellStyle name="Moneda" xfId="1" builtinId="4"/>
    <cellStyle name="Normal" xfId="0" builtinId="0"/>
    <cellStyle name="Normal 2" xfId="2" xr:uid="{00000000-0005-0000-0000-000002000000}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VENER02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ntas"/>
    </sheetNames>
    <sheetDataSet>
      <sheetData sheetId="0">
        <row r="1">
          <cell r="A1"/>
          <cell r="B1"/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A2"/>
          <cell r="B2" t="str">
            <v>ESTUDIO REGGI SAS</v>
          </cell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A3"/>
          <cell r="B3"/>
          <cell r="C3"/>
          <cell r="D3"/>
          <cell r="E3"/>
          <cell r="F3">
            <v>46054</v>
          </cell>
          <cell r="G3"/>
          <cell r="H3"/>
          <cell r="I3"/>
          <cell r="J3"/>
          <cell r="K3"/>
          <cell r="L3"/>
        </row>
        <row r="4">
          <cell r="A4"/>
          <cell r="B4"/>
          <cell r="C4"/>
          <cell r="D4"/>
          <cell r="E4"/>
          <cell r="F4"/>
          <cell r="G4"/>
          <cell r="H4"/>
          <cell r="I4"/>
          <cell r="J4"/>
          <cell r="K4"/>
          <cell r="L4"/>
        </row>
        <row r="5">
          <cell r="A5" t="str">
            <v>FECHA</v>
          </cell>
          <cell r="B5" t="str">
            <v>TIPO COMP.</v>
          </cell>
          <cell r="C5" t="str">
            <v>PTO. VTA.</v>
          </cell>
          <cell r="D5" t="str">
            <v>NRO. COMP.</v>
          </cell>
          <cell r="E5" t="str">
            <v>CUIT</v>
          </cell>
          <cell r="F5" t="str">
            <v>DESCRIPCION</v>
          </cell>
          <cell r="G5" t="str">
            <v>TOTAL</v>
          </cell>
          <cell r="H5" t="str">
            <v>BI</v>
          </cell>
          <cell r="I5" t="str">
            <v>IVA 10,5%</v>
          </cell>
          <cell r="J5" t="str">
            <v>IVA 21%</v>
          </cell>
          <cell r="K5" t="str">
            <v>IVA 27%</v>
          </cell>
          <cell r="L5" t="str">
            <v>EXENTO</v>
          </cell>
        </row>
        <row r="6">
          <cell r="A6"/>
          <cell r="B6"/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A7"/>
          <cell r="B7"/>
          <cell r="C7"/>
          <cell r="D7"/>
          <cell r="E7"/>
          <cell r="F7"/>
          <cell r="G7"/>
          <cell r="H7"/>
          <cell r="I7"/>
          <cell r="J7"/>
          <cell r="K7"/>
          <cell r="L7"/>
        </row>
        <row r="8">
          <cell r="A8"/>
          <cell r="B8"/>
          <cell r="C8"/>
          <cell r="D8"/>
          <cell r="E8"/>
          <cell r="F8"/>
          <cell r="G8"/>
          <cell r="H8"/>
          <cell r="I8"/>
          <cell r="J8"/>
          <cell r="K8"/>
          <cell r="L8"/>
        </row>
        <row r="9">
          <cell r="A9"/>
          <cell r="B9"/>
          <cell r="C9"/>
          <cell r="D9"/>
          <cell r="E9"/>
          <cell r="F9"/>
          <cell r="G9"/>
          <cell r="H9"/>
          <cell r="I9"/>
          <cell r="J9"/>
          <cell r="K9"/>
          <cell r="L9"/>
        </row>
        <row r="10">
          <cell r="A10" t="str">
            <v>TOTAL</v>
          </cell>
          <cell r="B10"/>
          <cell r="C10"/>
          <cell r="D10"/>
          <cell r="E10"/>
          <cell r="F10"/>
          <cell r="G10"/>
          <cell r="H10"/>
          <cell r="I10"/>
          <cell r="J10"/>
          <cell r="K10"/>
          <cell r="L10"/>
        </row>
        <row r="13">
          <cell r="C13" t="str">
            <v>RETENCIONES</v>
          </cell>
          <cell r="D13"/>
          <cell r="E13"/>
          <cell r="F13"/>
          <cell r="G13"/>
        </row>
        <row r="14">
          <cell r="C14"/>
          <cell r="D14"/>
          <cell r="F14"/>
          <cell r="G14"/>
        </row>
        <row r="15">
          <cell r="C15"/>
          <cell r="D15"/>
          <cell r="F15"/>
          <cell r="G15"/>
        </row>
        <row r="16">
          <cell r="C16"/>
          <cell r="D16"/>
          <cell r="E16"/>
          <cell r="F16"/>
          <cell r="G16"/>
        </row>
        <row r="17">
          <cell r="C17" t="str">
            <v>TIPO</v>
          </cell>
          <cell r="D17" t="str">
            <v>FECHA</v>
          </cell>
          <cell r="E17" t="str">
            <v>CUIT</v>
          </cell>
          <cell r="F17" t="str">
            <v>COMPROBANTE</v>
          </cell>
          <cell r="G17" t="str">
            <v>MONTO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X191"/>
  <sheetViews>
    <sheetView tabSelected="1" zoomScale="85" zoomScaleNormal="85" workbookViewId="0">
      <selection activeCell="G7" sqref="G7:G18"/>
    </sheetView>
  </sheetViews>
  <sheetFormatPr baseColWidth="10" defaultColWidth="11.44140625" defaultRowHeight="14.4" x14ac:dyDescent="0.3"/>
  <cols>
    <col min="1" max="1" width="10.88671875" style="1" customWidth="1"/>
    <col min="2" max="2" width="12.33203125" bestFit="1" customWidth="1"/>
    <col min="3" max="3" width="11.6640625" bestFit="1" customWidth="1"/>
    <col min="4" max="4" width="12.109375" bestFit="1" customWidth="1"/>
    <col min="5" max="5" width="13.6640625" customWidth="1"/>
    <col min="6" max="6" width="49.6640625" bestFit="1" customWidth="1"/>
    <col min="7" max="8" width="14" bestFit="1" customWidth="1"/>
    <col min="9" max="9" width="13.33203125" bestFit="1" customWidth="1"/>
    <col min="10" max="10" width="11.44140625" bestFit="1" customWidth="1"/>
    <col min="11" max="11" width="12.6640625" bestFit="1" customWidth="1"/>
    <col min="12" max="12" width="10.6640625" customWidth="1"/>
    <col min="13" max="13" width="12.5546875" customWidth="1"/>
    <col min="14" max="14" width="11.44140625" bestFit="1" customWidth="1"/>
    <col min="15" max="15" width="12.5546875" bestFit="1" customWidth="1"/>
    <col min="16" max="16" width="12.88671875" bestFit="1" customWidth="1"/>
  </cols>
  <sheetData>
    <row r="1" spans="1:43" x14ac:dyDescent="0.3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</row>
    <row r="2" spans="1:43" ht="16.5" customHeight="1" x14ac:dyDescent="0.3">
      <c r="A2" s="36"/>
      <c r="B2" s="68" t="s">
        <v>0</v>
      </c>
      <c r="C2" s="69"/>
      <c r="D2" s="69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</row>
    <row r="3" spans="1:43" s="2" customFormat="1" ht="15.75" customHeight="1" x14ac:dyDescent="0.3">
      <c r="A3" s="36"/>
      <c r="B3" s="36"/>
      <c r="C3" s="36"/>
      <c r="D3" s="36"/>
      <c r="E3" s="36"/>
      <c r="F3" s="37">
        <v>46054</v>
      </c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</row>
    <row r="4" spans="1:43" ht="15.75" customHeight="1" thickBot="1" x14ac:dyDescent="0.35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</row>
    <row r="5" spans="1:43" s="13" customFormat="1" ht="16.5" customHeight="1" thickBot="1" x14ac:dyDescent="0.35">
      <c r="A5" s="38" t="s">
        <v>1</v>
      </c>
      <c r="B5" s="39" t="s">
        <v>2</v>
      </c>
      <c r="C5" s="39" t="s">
        <v>3</v>
      </c>
      <c r="D5" s="39" t="s">
        <v>4</v>
      </c>
      <c r="E5" s="39" t="s">
        <v>5</v>
      </c>
      <c r="F5" s="39" t="s">
        <v>6</v>
      </c>
      <c r="G5" s="39" t="s">
        <v>7</v>
      </c>
      <c r="H5" s="39" t="s">
        <v>8</v>
      </c>
      <c r="I5" s="39" t="s">
        <v>9</v>
      </c>
      <c r="J5" s="39" t="s">
        <v>10</v>
      </c>
      <c r="K5" s="39" t="s">
        <v>11</v>
      </c>
      <c r="L5" s="39" t="s">
        <v>12</v>
      </c>
      <c r="M5" s="39" t="s">
        <v>13</v>
      </c>
      <c r="N5" s="39" t="s">
        <v>14</v>
      </c>
      <c r="O5" s="39" t="s">
        <v>15</v>
      </c>
      <c r="P5" s="40" t="s">
        <v>16</v>
      </c>
      <c r="Q5" s="40" t="s">
        <v>17</v>
      </c>
      <c r="R5" s="40" t="s">
        <v>18</v>
      </c>
      <c r="S5" s="40" t="s">
        <v>19</v>
      </c>
      <c r="T5" s="40" t="s">
        <v>20</v>
      </c>
      <c r="U5" s="40" t="s">
        <v>21</v>
      </c>
      <c r="V5" s="40" t="s">
        <v>22</v>
      </c>
      <c r="W5" s="40" t="s">
        <v>23</v>
      </c>
      <c r="X5" s="40" t="s">
        <v>24</v>
      </c>
      <c r="Y5" s="40" t="s">
        <v>25</v>
      </c>
      <c r="Z5" s="40" t="s">
        <v>26</v>
      </c>
      <c r="AA5" s="40" t="s">
        <v>27</v>
      </c>
      <c r="AB5" s="40" t="s">
        <v>28</v>
      </c>
      <c r="AC5" s="40" t="s">
        <v>29</v>
      </c>
      <c r="AD5" s="40" t="s">
        <v>30</v>
      </c>
      <c r="AE5" s="40" t="s">
        <v>31</v>
      </c>
      <c r="AF5" s="40" t="s">
        <v>32</v>
      </c>
      <c r="AG5" s="40" t="s">
        <v>33</v>
      </c>
      <c r="AH5" s="40" t="s">
        <v>34</v>
      </c>
      <c r="AI5" s="40" t="s">
        <v>35</v>
      </c>
      <c r="AJ5" s="40" t="s">
        <v>36</v>
      </c>
      <c r="AK5" s="40" t="s">
        <v>37</v>
      </c>
      <c r="AL5" s="40" t="s">
        <v>38</v>
      </c>
      <c r="AM5" s="39" t="s">
        <v>39</v>
      </c>
      <c r="AN5" s="40" t="s">
        <v>40</v>
      </c>
      <c r="AO5" s="40" t="s">
        <v>41</v>
      </c>
      <c r="AP5" s="41" t="s">
        <v>42</v>
      </c>
      <c r="AQ5" s="42" t="s">
        <v>43</v>
      </c>
    </row>
    <row r="6" spans="1:43" ht="9" customHeight="1" x14ac:dyDescent="0.3">
      <c r="A6" s="43"/>
      <c r="B6" s="44"/>
      <c r="C6" s="45"/>
      <c r="D6" s="44"/>
      <c r="E6" s="45"/>
      <c r="F6" s="46"/>
      <c r="G6" s="47"/>
      <c r="H6" s="46"/>
      <c r="I6" s="47"/>
      <c r="J6" s="46"/>
      <c r="K6" s="47"/>
      <c r="L6" s="47"/>
      <c r="M6" s="47"/>
      <c r="N6" s="46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8"/>
      <c r="AO6" s="48"/>
      <c r="AP6" s="49"/>
      <c r="AQ6" s="50"/>
    </row>
    <row r="7" spans="1:43" ht="15" customHeight="1" x14ac:dyDescent="0.3">
      <c r="A7" s="51"/>
      <c r="B7" s="52"/>
      <c r="C7" s="52"/>
      <c r="D7" s="52"/>
      <c r="E7" s="52"/>
      <c r="F7" s="53"/>
      <c r="G7" s="3">
        <f>SUM(H7:AP7)</f>
        <v>0</v>
      </c>
      <c r="H7" s="54"/>
      <c r="I7" s="55"/>
      <c r="J7" s="54"/>
      <c r="K7" s="55"/>
      <c r="L7" s="55"/>
      <c r="M7" s="55"/>
      <c r="N7" s="54"/>
      <c r="O7" s="55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7"/>
      <c r="AO7" s="57"/>
      <c r="AP7" s="58"/>
      <c r="AQ7" s="59"/>
    </row>
    <row r="8" spans="1:43" ht="15" customHeight="1" x14ac:dyDescent="0.3">
      <c r="A8" s="51"/>
      <c r="B8" s="52"/>
      <c r="C8" s="52"/>
      <c r="D8" s="52"/>
      <c r="E8" s="52"/>
      <c r="F8" s="53"/>
      <c r="G8" s="3">
        <f t="shared" ref="G8:G18" si="0">SUM(H8:AP8)</f>
        <v>0</v>
      </c>
      <c r="H8" s="54"/>
      <c r="I8" s="55"/>
      <c r="J8" s="54"/>
      <c r="K8" s="55"/>
      <c r="L8" s="55"/>
      <c r="M8" s="55"/>
      <c r="N8" s="54"/>
      <c r="O8" s="55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7"/>
      <c r="AO8" s="57"/>
      <c r="AP8" s="58"/>
      <c r="AQ8" s="59"/>
    </row>
    <row r="9" spans="1:43" ht="15" customHeight="1" x14ac:dyDescent="0.3">
      <c r="A9" s="60"/>
      <c r="B9" s="52"/>
      <c r="C9" s="52"/>
      <c r="D9" s="52"/>
      <c r="E9" s="52"/>
      <c r="F9" s="53"/>
      <c r="G9" s="3">
        <f t="shared" si="0"/>
        <v>0</v>
      </c>
      <c r="H9" s="54"/>
      <c r="I9" s="55"/>
      <c r="J9" s="54"/>
      <c r="K9" s="55"/>
      <c r="L9" s="55"/>
      <c r="M9" s="55"/>
      <c r="N9" s="54"/>
      <c r="O9" s="55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7"/>
      <c r="AO9" s="57"/>
      <c r="AP9" s="58"/>
      <c r="AQ9" s="59"/>
    </row>
    <row r="10" spans="1:43" ht="15" customHeight="1" x14ac:dyDescent="0.3">
      <c r="A10" s="51"/>
      <c r="B10" s="52"/>
      <c r="C10" s="52"/>
      <c r="D10" s="52"/>
      <c r="E10" s="52"/>
      <c r="F10" s="53"/>
      <c r="G10" s="3">
        <f t="shared" si="0"/>
        <v>0</v>
      </c>
      <c r="H10" s="54"/>
      <c r="I10" s="55"/>
      <c r="J10" s="54"/>
      <c r="K10" s="55"/>
      <c r="L10" s="55"/>
      <c r="M10" s="55"/>
      <c r="N10" s="54"/>
      <c r="O10" s="55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7"/>
      <c r="AO10" s="57"/>
      <c r="AP10" s="58"/>
      <c r="AQ10" s="59"/>
    </row>
    <row r="11" spans="1:43" ht="15" customHeight="1" x14ac:dyDescent="0.3">
      <c r="A11" s="51"/>
      <c r="B11" s="52"/>
      <c r="C11" s="52"/>
      <c r="D11" s="52"/>
      <c r="E11" s="52"/>
      <c r="F11" s="53"/>
      <c r="G11" s="3">
        <f t="shared" si="0"/>
        <v>0</v>
      </c>
      <c r="H11" s="54"/>
      <c r="I11" s="55"/>
      <c r="J11" s="54"/>
      <c r="K11" s="55"/>
      <c r="L11" s="55"/>
      <c r="M11" s="55"/>
      <c r="N11" s="54"/>
      <c r="O11" s="55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7"/>
      <c r="AO11" s="57"/>
      <c r="AP11" s="58"/>
      <c r="AQ11" s="59"/>
    </row>
    <row r="12" spans="1:43" ht="15" customHeight="1" x14ac:dyDescent="0.3">
      <c r="A12" s="51"/>
      <c r="B12" s="52"/>
      <c r="C12" s="52"/>
      <c r="D12" s="52"/>
      <c r="E12" s="52"/>
      <c r="F12" s="53"/>
      <c r="G12" s="3">
        <f t="shared" si="0"/>
        <v>0</v>
      </c>
      <c r="H12" s="54"/>
      <c r="I12" s="55"/>
      <c r="J12" s="54"/>
      <c r="K12" s="55"/>
      <c r="L12" s="55"/>
      <c r="M12" s="55"/>
      <c r="N12" s="54"/>
      <c r="O12" s="55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7"/>
      <c r="AO12" s="57"/>
      <c r="AP12" s="58"/>
      <c r="AQ12" s="59"/>
    </row>
    <row r="13" spans="1:43" ht="15" customHeight="1" x14ac:dyDescent="0.3">
      <c r="A13" s="51"/>
      <c r="B13" s="52"/>
      <c r="C13" s="52"/>
      <c r="D13" s="52"/>
      <c r="E13" s="52"/>
      <c r="F13" s="53"/>
      <c r="G13" s="3">
        <f t="shared" si="0"/>
        <v>0</v>
      </c>
      <c r="H13" s="54"/>
      <c r="I13" s="55"/>
      <c r="J13" s="54"/>
      <c r="K13" s="55"/>
      <c r="L13" s="55"/>
      <c r="M13" s="55"/>
      <c r="N13" s="54"/>
      <c r="O13" s="55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7"/>
      <c r="AO13" s="57"/>
      <c r="AP13" s="58"/>
      <c r="AQ13" s="59"/>
    </row>
    <row r="14" spans="1:43" ht="15" customHeight="1" x14ac:dyDescent="0.3">
      <c r="A14" s="51"/>
      <c r="B14" s="52"/>
      <c r="C14" s="52"/>
      <c r="D14" s="52"/>
      <c r="E14" s="52"/>
      <c r="F14" s="53"/>
      <c r="G14" s="3">
        <f t="shared" si="0"/>
        <v>0</v>
      </c>
      <c r="H14" s="54"/>
      <c r="I14" s="55"/>
      <c r="J14" s="54"/>
      <c r="K14" s="55"/>
      <c r="L14" s="55"/>
      <c r="M14" s="55"/>
      <c r="N14" s="54"/>
      <c r="O14" s="55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7"/>
      <c r="AO14" s="57"/>
      <c r="AP14" s="58"/>
      <c r="AQ14" s="59"/>
    </row>
    <row r="15" spans="1:43" ht="15" customHeight="1" x14ac:dyDescent="0.3">
      <c r="A15" s="51"/>
      <c r="B15" s="52"/>
      <c r="C15" s="52"/>
      <c r="D15" s="52"/>
      <c r="E15" s="52"/>
      <c r="F15" s="53"/>
      <c r="G15" s="3">
        <f t="shared" si="0"/>
        <v>0</v>
      </c>
      <c r="H15" s="54"/>
      <c r="I15" s="55"/>
      <c r="J15" s="54"/>
      <c r="K15" s="55"/>
      <c r="L15" s="55"/>
      <c r="M15" s="55"/>
      <c r="N15" s="54"/>
      <c r="O15" s="55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7"/>
      <c r="AO15" s="57"/>
      <c r="AP15" s="58"/>
      <c r="AQ15" s="59"/>
    </row>
    <row r="16" spans="1:43" ht="15" customHeight="1" x14ac:dyDescent="0.3">
      <c r="A16" s="51"/>
      <c r="B16" s="52"/>
      <c r="C16" s="52"/>
      <c r="D16" s="52"/>
      <c r="E16" s="52"/>
      <c r="F16" s="53"/>
      <c r="G16" s="3">
        <f t="shared" si="0"/>
        <v>0</v>
      </c>
      <c r="H16" s="54"/>
      <c r="I16" s="55"/>
      <c r="J16" s="54"/>
      <c r="K16" s="55"/>
      <c r="L16" s="55"/>
      <c r="M16" s="55"/>
      <c r="N16" s="54"/>
      <c r="O16" s="55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7"/>
      <c r="AO16" s="57"/>
      <c r="AP16" s="58"/>
      <c r="AQ16" s="59"/>
    </row>
    <row r="17" spans="1:76" ht="15" customHeight="1" x14ac:dyDescent="0.3">
      <c r="A17" s="51"/>
      <c r="B17" s="52"/>
      <c r="C17" s="52"/>
      <c r="D17" s="52"/>
      <c r="E17" s="52"/>
      <c r="F17" s="53"/>
      <c r="G17" s="3">
        <f t="shared" si="0"/>
        <v>0</v>
      </c>
      <c r="H17" s="54"/>
      <c r="I17" s="55"/>
      <c r="J17" s="54"/>
      <c r="K17" s="55"/>
      <c r="L17" s="55"/>
      <c r="M17" s="55"/>
      <c r="N17" s="54"/>
      <c r="O17" s="55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7"/>
      <c r="AO17" s="57"/>
      <c r="AP17" s="58"/>
      <c r="AQ17" s="59"/>
    </row>
    <row r="18" spans="1:76" ht="15" customHeight="1" x14ac:dyDescent="0.3">
      <c r="A18" s="51"/>
      <c r="B18" s="52"/>
      <c r="C18" s="52"/>
      <c r="D18" s="52"/>
      <c r="E18" s="52"/>
      <c r="F18" s="53"/>
      <c r="G18" s="3">
        <f t="shared" si="0"/>
        <v>0</v>
      </c>
      <c r="H18" s="54"/>
      <c r="I18" s="55"/>
      <c r="J18" s="54"/>
      <c r="K18" s="55"/>
      <c r="L18" s="55"/>
      <c r="M18" s="55"/>
      <c r="N18" s="54"/>
      <c r="O18" s="55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7"/>
      <c r="AO18" s="57"/>
      <c r="AP18" s="58"/>
      <c r="AQ18" s="59"/>
    </row>
    <row r="19" spans="1:76" ht="10.5" customHeight="1" thickBot="1" x14ac:dyDescent="0.35">
      <c r="A19" s="60"/>
      <c r="B19" s="52"/>
      <c r="C19" s="52"/>
      <c r="D19" s="52"/>
      <c r="E19" s="52"/>
      <c r="F19" s="53"/>
      <c r="G19" s="3"/>
      <c r="H19" s="54"/>
      <c r="I19" s="55"/>
      <c r="J19" s="54"/>
      <c r="K19" s="55"/>
      <c r="L19" s="55"/>
      <c r="M19" s="55"/>
      <c r="N19" s="54"/>
      <c r="O19" s="55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7"/>
      <c r="AO19" s="57"/>
      <c r="AP19" s="58"/>
      <c r="AQ19" s="59"/>
    </row>
    <row r="20" spans="1:76" s="4" customFormat="1" ht="16.5" customHeight="1" thickBot="1" x14ac:dyDescent="0.35">
      <c r="A20" s="64" t="s">
        <v>44</v>
      </c>
      <c r="B20" s="65"/>
      <c r="C20" s="65"/>
      <c r="D20" s="65"/>
      <c r="E20" s="65"/>
      <c r="F20" s="66"/>
      <c r="G20" s="61">
        <f t="shared" ref="G20:O20" si="1">SUM(G6:G19)</f>
        <v>0</v>
      </c>
      <c r="H20" s="61">
        <f t="shared" si="1"/>
        <v>0</v>
      </c>
      <c r="I20" s="61">
        <f t="shared" si="1"/>
        <v>0</v>
      </c>
      <c r="J20" s="61">
        <f t="shared" si="1"/>
        <v>0</v>
      </c>
      <c r="K20" s="61">
        <f t="shared" si="1"/>
        <v>0</v>
      </c>
      <c r="L20" s="61">
        <f t="shared" si="1"/>
        <v>0</v>
      </c>
      <c r="M20" s="61">
        <f t="shared" si="1"/>
        <v>0</v>
      </c>
      <c r="N20" s="61">
        <f t="shared" si="1"/>
        <v>0</v>
      </c>
      <c r="O20" s="61">
        <f t="shared" si="1"/>
        <v>0</v>
      </c>
      <c r="P20" s="62">
        <f t="shared" ref="P20:AQ20" si="2">SUM(P7:P19)</f>
        <v>0</v>
      </c>
      <c r="Q20" s="62">
        <f t="shared" si="2"/>
        <v>0</v>
      </c>
      <c r="R20" s="62">
        <f t="shared" si="2"/>
        <v>0</v>
      </c>
      <c r="S20" s="62">
        <f t="shared" si="2"/>
        <v>0</v>
      </c>
      <c r="T20" s="62">
        <f t="shared" si="2"/>
        <v>0</v>
      </c>
      <c r="U20" s="62">
        <f t="shared" si="2"/>
        <v>0</v>
      </c>
      <c r="V20" s="62">
        <f t="shared" si="2"/>
        <v>0</v>
      </c>
      <c r="W20" s="62">
        <f t="shared" si="2"/>
        <v>0</v>
      </c>
      <c r="X20" s="62">
        <f t="shared" si="2"/>
        <v>0</v>
      </c>
      <c r="Y20" s="62">
        <f t="shared" si="2"/>
        <v>0</v>
      </c>
      <c r="Z20" s="62">
        <f t="shared" si="2"/>
        <v>0</v>
      </c>
      <c r="AA20" s="62">
        <f t="shared" si="2"/>
        <v>0</v>
      </c>
      <c r="AB20" s="62">
        <f t="shared" si="2"/>
        <v>0</v>
      </c>
      <c r="AC20" s="62">
        <f t="shared" si="2"/>
        <v>0</v>
      </c>
      <c r="AD20" s="62">
        <f t="shared" si="2"/>
        <v>0</v>
      </c>
      <c r="AE20" s="62">
        <f t="shared" si="2"/>
        <v>0</v>
      </c>
      <c r="AF20" s="62">
        <f t="shared" si="2"/>
        <v>0</v>
      </c>
      <c r="AG20" s="62">
        <f t="shared" si="2"/>
        <v>0</v>
      </c>
      <c r="AH20" s="62">
        <f t="shared" si="2"/>
        <v>0</v>
      </c>
      <c r="AI20" s="62">
        <f t="shared" si="2"/>
        <v>0</v>
      </c>
      <c r="AJ20" s="62">
        <f t="shared" si="2"/>
        <v>0</v>
      </c>
      <c r="AK20" s="62">
        <f t="shared" si="2"/>
        <v>0</v>
      </c>
      <c r="AL20" s="62">
        <f t="shared" si="2"/>
        <v>0</v>
      </c>
      <c r="AM20" s="62">
        <f t="shared" si="2"/>
        <v>0</v>
      </c>
      <c r="AN20" s="62">
        <f t="shared" si="2"/>
        <v>0</v>
      </c>
      <c r="AO20" s="62">
        <f t="shared" si="2"/>
        <v>0</v>
      </c>
      <c r="AP20" s="62">
        <f t="shared" si="2"/>
        <v>0</v>
      </c>
      <c r="AQ20" s="63">
        <f t="shared" si="2"/>
        <v>0</v>
      </c>
    </row>
    <row r="21" spans="1:76" s="4" customFormat="1" ht="15.75" customHeight="1" x14ac:dyDescent="0.3">
      <c r="A21" s="17"/>
      <c r="B21" s="17"/>
      <c r="C21" s="17"/>
      <c r="D21" s="17"/>
      <c r="E21" s="17"/>
      <c r="F21" s="17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BX21" s="18"/>
    </row>
    <row r="22" spans="1:76" s="4" customFormat="1" ht="15.75" customHeight="1" x14ac:dyDescent="0.3">
      <c r="A22" s="17"/>
      <c r="B22" s="17"/>
      <c r="C22" s="17"/>
      <c r="D22" s="17"/>
      <c r="E22" s="17"/>
      <c r="F22" s="17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BX22" s="18"/>
    </row>
    <row r="23" spans="1:76" s="4" customFormat="1" ht="16.2" customHeight="1" thickBot="1" x14ac:dyDescent="0.35">
      <c r="A23" s="17"/>
      <c r="B23" s="17"/>
      <c r="C23" s="17"/>
      <c r="D23" s="17"/>
      <c r="E23" s="17"/>
      <c r="F23" s="17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BX23" s="18"/>
    </row>
    <row r="24" spans="1:76" ht="16.5" customHeight="1" thickBot="1" x14ac:dyDescent="0.35">
      <c r="A24" s="70" t="s">
        <v>45</v>
      </c>
      <c r="B24" s="66"/>
      <c r="C24" s="19" t="s">
        <v>46</v>
      </c>
      <c r="I24" s="22"/>
      <c r="J24" s="22"/>
      <c r="K24" s="22"/>
      <c r="L24" s="18"/>
      <c r="M24" s="18"/>
      <c r="N24" s="18"/>
      <c r="O24" s="18"/>
      <c r="P24" s="18"/>
    </row>
    <row r="25" spans="1:76" ht="15.75" customHeight="1" x14ac:dyDescent="0.3">
      <c r="A25" s="14" t="s">
        <v>47</v>
      </c>
      <c r="B25" s="15"/>
      <c r="C25" s="20">
        <f>VLOOKUP("TOTAL",[1]Ventas!$A$1:$L$1500,9,FALSE)-B25</f>
        <v>0</v>
      </c>
      <c r="I25" s="22"/>
      <c r="J25" s="22"/>
      <c r="K25" s="22"/>
      <c r="L25" s="18"/>
      <c r="M25" s="18"/>
      <c r="N25" s="18"/>
      <c r="O25" s="18"/>
      <c r="P25" s="18"/>
    </row>
    <row r="26" spans="1:76" ht="15.75" customHeight="1" x14ac:dyDescent="0.3">
      <c r="A26" s="16" t="s">
        <v>48</v>
      </c>
      <c r="B26" s="5"/>
      <c r="C26" s="20">
        <f>VLOOKUP("TOTALES",Compras!$A$1:$Z$1498,9,FALSE)-B26</f>
        <v>0</v>
      </c>
      <c r="I26" s="22"/>
      <c r="J26" s="22"/>
      <c r="K26" s="22"/>
      <c r="L26" s="18"/>
      <c r="M26" s="18"/>
      <c r="N26" s="18"/>
      <c r="O26" s="18"/>
      <c r="P26" s="18"/>
    </row>
    <row r="27" spans="1:76" ht="15.6" customHeight="1" x14ac:dyDescent="0.3">
      <c r="A27" s="16" t="s">
        <v>49</v>
      </c>
      <c r="B27" s="5"/>
      <c r="C27" s="20">
        <f>+VLOOKUP("TOTALES",Compras!$A$1:$Z$1498,10,FALSE)-B27</f>
        <v>0</v>
      </c>
      <c r="I27" s="22"/>
      <c r="J27" s="22"/>
      <c r="K27" s="22"/>
      <c r="L27" s="18"/>
      <c r="M27" s="18"/>
      <c r="N27" s="18"/>
      <c r="O27" s="18"/>
      <c r="P27" s="18"/>
    </row>
    <row r="28" spans="1:76" ht="16.2" customHeight="1" thickBot="1" x14ac:dyDescent="0.35">
      <c r="A28" s="16" t="s">
        <v>50</v>
      </c>
      <c r="B28" s="5"/>
      <c r="C28" s="21">
        <f>+VLOOKUP("TOTALES",Compras!$A$1:$Z$1498,11,FALSE)-B28</f>
        <v>0</v>
      </c>
      <c r="I28" s="22"/>
      <c r="J28" s="22"/>
      <c r="K28" s="23"/>
      <c r="L28" s="18"/>
      <c r="M28" s="18"/>
      <c r="N28" s="18"/>
      <c r="O28" s="18"/>
      <c r="P28" s="18"/>
    </row>
    <row r="29" spans="1:76" ht="15.6" customHeight="1" x14ac:dyDescent="0.3">
      <c r="A29" s="6"/>
      <c r="B29" s="5"/>
      <c r="I29" s="24"/>
      <c r="J29" s="22"/>
      <c r="K29" s="23"/>
      <c r="L29" s="18"/>
      <c r="M29" s="18"/>
      <c r="N29" s="18"/>
      <c r="O29" s="18"/>
      <c r="P29" s="18"/>
    </row>
    <row r="30" spans="1:76" ht="15.75" customHeight="1" x14ac:dyDescent="0.3">
      <c r="A30" s="16" t="s">
        <v>51</v>
      </c>
      <c r="B30" s="5"/>
      <c r="I30" s="22"/>
      <c r="J30" s="22"/>
      <c r="K30" s="23"/>
      <c r="L30" s="18"/>
      <c r="M30" s="18"/>
      <c r="N30" s="18"/>
      <c r="O30" s="18"/>
      <c r="P30" s="18"/>
    </row>
    <row r="31" spans="1:76" ht="14.25" customHeight="1" x14ac:dyDescent="0.3">
      <c r="A31" s="16" t="s">
        <v>52</v>
      </c>
      <c r="B31" s="5"/>
      <c r="I31" s="22"/>
      <c r="J31" s="22"/>
      <c r="K31" s="23"/>
      <c r="L31" s="18"/>
      <c r="M31" s="18"/>
      <c r="N31" s="18"/>
      <c r="O31" s="18"/>
      <c r="P31" s="18"/>
    </row>
    <row r="32" spans="1:76" ht="15.6" customHeight="1" x14ac:dyDescent="0.3">
      <c r="A32" s="6"/>
      <c r="B32" s="5"/>
      <c r="I32" s="22"/>
      <c r="J32" s="22"/>
      <c r="K32" s="23"/>
      <c r="L32" s="18"/>
      <c r="M32" s="18"/>
      <c r="N32" s="18"/>
      <c r="O32" s="18"/>
      <c r="P32" s="18"/>
    </row>
    <row r="33" spans="1:16" ht="15.6" customHeight="1" x14ac:dyDescent="0.3">
      <c r="A33" s="16" t="s">
        <v>53</v>
      </c>
      <c r="B33" s="5"/>
      <c r="I33" s="22"/>
      <c r="J33" s="22"/>
      <c r="K33" s="23"/>
      <c r="L33" s="18"/>
      <c r="M33" s="18"/>
      <c r="N33" s="18"/>
      <c r="O33" s="18"/>
      <c r="P33" s="18"/>
    </row>
    <row r="34" spans="1:16" ht="16.2" customHeight="1" thickBot="1" x14ac:dyDescent="0.35">
      <c r="A34" s="16" t="s">
        <v>54</v>
      </c>
      <c r="B34" s="5"/>
      <c r="I34" s="22"/>
      <c r="J34" s="22"/>
      <c r="K34" s="23"/>
      <c r="L34" s="18"/>
      <c r="M34" s="18"/>
      <c r="N34" s="18"/>
      <c r="O34" s="18"/>
      <c r="P34" s="18"/>
    </row>
    <row r="35" spans="1:16" ht="16.2" customHeight="1" thickBot="1" x14ac:dyDescent="0.35">
      <c r="A35" s="9"/>
      <c r="B35" s="7"/>
      <c r="I35" s="22"/>
      <c r="J35" s="22"/>
      <c r="K35" s="23"/>
      <c r="L35" s="18"/>
      <c r="M35" s="18"/>
      <c r="N35" s="18"/>
      <c r="O35" s="18"/>
      <c r="P35" s="18"/>
    </row>
    <row r="36" spans="1:16" ht="16.2" customHeight="1" thickBot="1" x14ac:dyDescent="0.35">
      <c r="A36" s="11" t="s">
        <v>55</v>
      </c>
      <c r="B36" s="12">
        <f>+B25-B26-B27-B28-B30-B31-B33-B34</f>
        <v>0</v>
      </c>
      <c r="K36" s="8"/>
      <c r="L36" s="18"/>
      <c r="M36" s="18"/>
      <c r="N36" s="18"/>
      <c r="O36" s="18"/>
      <c r="P36" s="18"/>
    </row>
    <row r="37" spans="1:16" ht="15.6" customHeight="1" thickBot="1" x14ac:dyDescent="0.35">
      <c r="B37" s="10" t="s">
        <v>56</v>
      </c>
      <c r="L37" s="18"/>
      <c r="M37" s="18"/>
      <c r="N37" s="18"/>
      <c r="O37" s="18"/>
      <c r="P37" s="18"/>
    </row>
    <row r="38" spans="1:16" ht="15.6" customHeight="1" thickBot="1" x14ac:dyDescent="0.35">
      <c r="A38" s="67" t="s">
        <v>58</v>
      </c>
      <c r="B38" s="65"/>
      <c r="C38" s="66"/>
      <c r="L38" s="18"/>
      <c r="M38" s="18"/>
      <c r="N38" s="18"/>
      <c r="O38" s="18"/>
      <c r="P38" s="18"/>
    </row>
    <row r="39" spans="1:16" ht="15.6" customHeight="1" x14ac:dyDescent="0.3">
      <c r="A39" s="25"/>
      <c r="B39" s="26"/>
      <c r="C39" s="27">
        <v>901</v>
      </c>
      <c r="J39" s="8"/>
      <c r="L39" s="18"/>
      <c r="M39" s="18"/>
      <c r="N39" s="18"/>
      <c r="O39" s="18"/>
      <c r="P39" s="18"/>
    </row>
    <row r="40" spans="1:16" ht="15.6" customHeight="1" x14ac:dyDescent="0.3">
      <c r="A40" s="74" t="s">
        <v>59</v>
      </c>
      <c r="B40" s="72"/>
      <c r="C40" s="28"/>
      <c r="G40" s="8"/>
      <c r="L40" s="18"/>
      <c r="M40" s="18"/>
      <c r="N40" s="18"/>
      <c r="O40" s="18"/>
      <c r="P40" s="18"/>
    </row>
    <row r="41" spans="1:16" ht="15.6" customHeight="1" x14ac:dyDescent="0.3">
      <c r="A41" s="29"/>
      <c r="B41" s="30"/>
      <c r="C41" s="28"/>
      <c r="G41" s="8"/>
      <c r="I41" s="8"/>
      <c r="L41" s="18"/>
      <c r="M41" s="18"/>
      <c r="N41" s="18"/>
      <c r="O41" s="18"/>
      <c r="P41" s="18"/>
    </row>
    <row r="42" spans="1:16" ht="15.6" customHeight="1" x14ac:dyDescent="0.3">
      <c r="A42" s="74" t="s">
        <v>60</v>
      </c>
      <c r="B42" s="72"/>
      <c r="C42" s="31">
        <f>+C40*0.03</f>
        <v>0</v>
      </c>
      <c r="G42" s="8"/>
      <c r="L42" s="18"/>
      <c r="M42" s="18"/>
      <c r="N42" s="18"/>
      <c r="O42" s="18"/>
      <c r="P42" s="18"/>
    </row>
    <row r="43" spans="1:16" ht="15.6" customHeight="1" x14ac:dyDescent="0.3">
      <c r="A43" s="71">
        <v>0.03</v>
      </c>
      <c r="B43" s="72"/>
      <c r="C43" s="31"/>
      <c r="L43" s="18"/>
      <c r="M43" s="18"/>
      <c r="N43" s="18"/>
      <c r="O43" s="18"/>
      <c r="P43" s="18"/>
    </row>
    <row r="44" spans="1:16" ht="15.6" customHeight="1" x14ac:dyDescent="0.3">
      <c r="A44" s="29"/>
      <c r="B44" s="30"/>
      <c r="C44" s="31"/>
      <c r="L44" s="18"/>
      <c r="M44" s="18"/>
      <c r="N44" s="18"/>
      <c r="O44" s="18"/>
      <c r="P44" s="18"/>
    </row>
    <row r="45" spans="1:16" ht="15.6" customHeight="1" x14ac:dyDescent="0.3">
      <c r="A45" s="74" t="s">
        <v>61</v>
      </c>
      <c r="B45" s="72"/>
      <c r="C45" s="31"/>
      <c r="L45" s="18"/>
      <c r="M45" s="18"/>
      <c r="N45" s="18"/>
      <c r="O45" s="18"/>
      <c r="P45" s="18"/>
    </row>
    <row r="46" spans="1:16" ht="15.6" customHeight="1" x14ac:dyDescent="0.3">
      <c r="A46" s="29"/>
      <c r="B46" s="30"/>
      <c r="C46" s="31"/>
      <c r="L46" s="18"/>
      <c r="M46" s="18"/>
      <c r="N46" s="18"/>
      <c r="O46" s="18"/>
      <c r="P46" s="18"/>
    </row>
    <row r="47" spans="1:16" ht="15.6" customHeight="1" x14ac:dyDescent="0.3">
      <c r="A47" s="74" t="s">
        <v>62</v>
      </c>
      <c r="B47" s="72"/>
      <c r="C47" s="31"/>
      <c r="L47" s="18"/>
      <c r="M47" s="18"/>
      <c r="N47" s="18"/>
      <c r="O47" s="18"/>
      <c r="P47" s="18"/>
    </row>
    <row r="48" spans="1:16" ht="15.6" customHeight="1" x14ac:dyDescent="0.3">
      <c r="A48" s="32"/>
      <c r="B48" s="33"/>
      <c r="C48" s="34"/>
      <c r="L48" s="18"/>
      <c r="M48" s="18"/>
      <c r="N48" s="18"/>
      <c r="O48" s="18"/>
      <c r="P48" s="18"/>
    </row>
    <row r="49" spans="1:16" ht="15.6" customHeight="1" x14ac:dyDescent="0.3">
      <c r="A49" s="73" t="s">
        <v>63</v>
      </c>
      <c r="B49" s="65"/>
      <c r="C49" s="35">
        <f>+C42-C45-C47</f>
        <v>0</v>
      </c>
      <c r="L49" s="18"/>
      <c r="M49" s="18"/>
      <c r="N49" s="18"/>
      <c r="O49" s="18"/>
      <c r="P49" s="18"/>
    </row>
    <row r="50" spans="1:16" ht="15.6" customHeight="1" x14ac:dyDescent="0.3">
      <c r="L50" s="18"/>
      <c r="M50" s="18"/>
      <c r="N50" s="18"/>
      <c r="O50" s="18"/>
      <c r="P50" s="18"/>
    </row>
    <row r="51" spans="1:16" ht="15.6" customHeight="1" x14ac:dyDescent="0.3">
      <c r="A51" s="10" t="s">
        <v>57</v>
      </c>
      <c r="B51" s="10"/>
      <c r="C51" s="10"/>
      <c r="L51" s="18"/>
      <c r="M51" s="18"/>
      <c r="N51" s="18"/>
      <c r="O51" s="18"/>
      <c r="P51" s="18"/>
    </row>
    <row r="52" spans="1:16" ht="15.6" customHeight="1" x14ac:dyDescent="0.3">
      <c r="L52" s="18"/>
      <c r="M52" s="18"/>
      <c r="N52" s="18"/>
      <c r="O52" s="18"/>
      <c r="P52" s="18"/>
    </row>
    <row r="53" spans="1:16" ht="15.6" customHeight="1" x14ac:dyDescent="0.3">
      <c r="L53" s="18"/>
      <c r="M53" s="18"/>
      <c r="N53" s="18"/>
      <c r="O53" s="18"/>
      <c r="P53" s="18"/>
    </row>
    <row r="54" spans="1:16" ht="15.6" customHeight="1" x14ac:dyDescent="0.3">
      <c r="L54" s="18"/>
      <c r="M54" s="18"/>
      <c r="N54" s="18"/>
      <c r="O54" s="18"/>
      <c r="P54" s="18"/>
    </row>
    <row r="55" spans="1:16" ht="15.6" customHeight="1" x14ac:dyDescent="0.3">
      <c r="L55" s="18"/>
      <c r="M55" s="18"/>
      <c r="N55" s="18"/>
      <c r="O55" s="18"/>
      <c r="P55" s="18"/>
    </row>
    <row r="56" spans="1:16" ht="15.6" customHeight="1" x14ac:dyDescent="0.3">
      <c r="L56" s="18"/>
      <c r="M56" s="18"/>
      <c r="N56" s="18"/>
      <c r="O56" s="18"/>
      <c r="P56" s="18"/>
    </row>
    <row r="57" spans="1:16" ht="15.6" customHeight="1" x14ac:dyDescent="0.3">
      <c r="L57" s="18"/>
      <c r="M57" s="18"/>
      <c r="N57" s="18"/>
      <c r="O57" s="18"/>
      <c r="P57" s="18"/>
    </row>
    <row r="58" spans="1:16" ht="15.6" customHeight="1" x14ac:dyDescent="0.3">
      <c r="L58" s="18"/>
      <c r="M58" s="18"/>
      <c r="N58" s="18"/>
      <c r="O58" s="18"/>
      <c r="P58" s="18"/>
    </row>
    <row r="59" spans="1:16" ht="15.6" customHeight="1" x14ac:dyDescent="0.3">
      <c r="L59" s="18"/>
      <c r="M59" s="18"/>
      <c r="N59" s="18"/>
      <c r="O59" s="18"/>
      <c r="P59" s="18"/>
    </row>
    <row r="60" spans="1:16" ht="15.6" customHeight="1" x14ac:dyDescent="0.3">
      <c r="L60" s="18"/>
      <c r="M60" s="18"/>
      <c r="N60" s="18"/>
      <c r="O60" s="18"/>
      <c r="P60" s="18"/>
    </row>
    <row r="61" spans="1:16" ht="15.6" customHeight="1" x14ac:dyDescent="0.3">
      <c r="L61" s="18"/>
      <c r="M61" s="18"/>
      <c r="N61" s="18"/>
      <c r="O61" s="18"/>
      <c r="P61" s="18"/>
    </row>
    <row r="62" spans="1:16" ht="15.6" customHeight="1" x14ac:dyDescent="0.3">
      <c r="L62" s="18"/>
      <c r="M62" s="18"/>
      <c r="N62" s="18"/>
      <c r="O62" s="18"/>
      <c r="P62" s="18"/>
    </row>
    <row r="63" spans="1:16" ht="15.6" customHeight="1" x14ac:dyDescent="0.3">
      <c r="L63" s="18"/>
      <c r="M63" s="18"/>
      <c r="N63" s="18"/>
      <c r="O63" s="18"/>
      <c r="P63" s="18"/>
    </row>
    <row r="64" spans="1:16" ht="15.6" customHeight="1" x14ac:dyDescent="0.3">
      <c r="L64" s="18"/>
      <c r="M64" s="18"/>
      <c r="N64" s="18"/>
      <c r="O64" s="18"/>
      <c r="P64" s="18"/>
    </row>
    <row r="65" spans="12:16" ht="15.6" customHeight="1" x14ac:dyDescent="0.3">
      <c r="L65" s="18"/>
      <c r="M65" s="18"/>
      <c r="N65" s="18"/>
      <c r="O65" s="18"/>
      <c r="P65" s="18"/>
    </row>
    <row r="66" spans="12:16" ht="15.6" customHeight="1" x14ac:dyDescent="0.3">
      <c r="L66" s="18"/>
      <c r="M66" s="18"/>
      <c r="N66" s="18"/>
      <c r="O66" s="18"/>
      <c r="P66" s="18"/>
    </row>
    <row r="67" spans="12:16" ht="15.6" customHeight="1" x14ac:dyDescent="0.3">
      <c r="L67" s="18"/>
      <c r="M67" s="18"/>
      <c r="N67" s="18"/>
      <c r="O67" s="18"/>
      <c r="P67" s="18"/>
    </row>
    <row r="68" spans="12:16" ht="15.6" customHeight="1" x14ac:dyDescent="0.3">
      <c r="L68" s="18"/>
      <c r="M68" s="18"/>
      <c r="N68" s="18"/>
      <c r="O68" s="18"/>
      <c r="P68" s="18"/>
    </row>
    <row r="69" spans="12:16" ht="15.6" customHeight="1" x14ac:dyDescent="0.3">
      <c r="L69" s="18"/>
      <c r="M69" s="18"/>
      <c r="N69" s="18"/>
      <c r="O69" s="18"/>
      <c r="P69" s="18"/>
    </row>
    <row r="70" spans="12:16" ht="15.6" customHeight="1" x14ac:dyDescent="0.3">
      <c r="L70" s="18"/>
      <c r="M70" s="18"/>
      <c r="N70" s="18"/>
      <c r="O70" s="18"/>
      <c r="P70" s="18"/>
    </row>
    <row r="71" spans="12:16" ht="15.6" customHeight="1" x14ac:dyDescent="0.3">
      <c r="L71" s="18"/>
      <c r="M71" s="18"/>
      <c r="N71" s="18"/>
      <c r="O71" s="18"/>
      <c r="P71" s="18"/>
    </row>
    <row r="72" spans="12:16" ht="15.6" customHeight="1" x14ac:dyDescent="0.3">
      <c r="L72" s="18"/>
      <c r="M72" s="18"/>
      <c r="N72" s="18"/>
      <c r="O72" s="18"/>
      <c r="P72" s="18"/>
    </row>
    <row r="73" spans="12:16" ht="15.6" customHeight="1" x14ac:dyDescent="0.3">
      <c r="L73" s="18"/>
      <c r="M73" s="18"/>
      <c r="N73" s="18"/>
      <c r="O73" s="18"/>
      <c r="P73" s="18"/>
    </row>
    <row r="74" spans="12:16" ht="15.6" customHeight="1" x14ac:dyDescent="0.3">
      <c r="L74" s="18"/>
      <c r="M74" s="18"/>
      <c r="N74" s="18"/>
      <c r="O74" s="18"/>
      <c r="P74" s="18"/>
    </row>
    <row r="75" spans="12:16" ht="15.6" customHeight="1" x14ac:dyDescent="0.3">
      <c r="L75" s="18"/>
      <c r="M75" s="18"/>
      <c r="N75" s="18"/>
      <c r="O75" s="18"/>
      <c r="P75" s="18"/>
    </row>
    <row r="76" spans="12:16" ht="15.6" customHeight="1" x14ac:dyDescent="0.3">
      <c r="L76" s="18"/>
      <c r="M76" s="18"/>
      <c r="N76" s="18"/>
      <c r="O76" s="18"/>
      <c r="P76" s="18"/>
    </row>
    <row r="77" spans="12:16" ht="15.6" customHeight="1" x14ac:dyDescent="0.3">
      <c r="L77" s="18"/>
      <c r="M77" s="18"/>
      <c r="N77" s="18"/>
      <c r="O77" s="18"/>
      <c r="P77" s="18"/>
    </row>
    <row r="78" spans="12:16" ht="15.6" customHeight="1" x14ac:dyDescent="0.3">
      <c r="L78" s="18"/>
      <c r="M78" s="18"/>
      <c r="N78" s="18"/>
      <c r="O78" s="18"/>
      <c r="P78" s="18"/>
    </row>
    <row r="79" spans="12:16" ht="15.6" customHeight="1" x14ac:dyDescent="0.3">
      <c r="L79" s="18"/>
      <c r="M79" s="18"/>
      <c r="N79" s="18"/>
      <c r="O79" s="18"/>
      <c r="P79" s="18"/>
    </row>
    <row r="80" spans="12:16" ht="15.6" customHeight="1" x14ac:dyDescent="0.3">
      <c r="L80" s="18"/>
      <c r="M80" s="18"/>
      <c r="N80" s="18"/>
      <c r="O80" s="18"/>
      <c r="P80" s="18"/>
    </row>
    <row r="81" spans="12:16" ht="15.6" customHeight="1" x14ac:dyDescent="0.3">
      <c r="L81" s="18"/>
      <c r="M81" s="18"/>
      <c r="N81" s="18"/>
      <c r="O81" s="18"/>
      <c r="P81" s="18"/>
    </row>
    <row r="82" spans="12:16" ht="15.6" customHeight="1" x14ac:dyDescent="0.3">
      <c r="L82" s="18"/>
      <c r="M82" s="18"/>
      <c r="N82" s="18"/>
      <c r="O82" s="18"/>
      <c r="P82" s="18"/>
    </row>
    <row r="83" spans="12:16" ht="15.6" customHeight="1" x14ac:dyDescent="0.3">
      <c r="L83" s="18"/>
      <c r="M83" s="18"/>
      <c r="N83" s="18"/>
      <c r="O83" s="18"/>
      <c r="P83" s="18"/>
    </row>
    <row r="84" spans="12:16" ht="15.6" customHeight="1" x14ac:dyDescent="0.3">
      <c r="L84" s="18"/>
      <c r="M84" s="18"/>
      <c r="N84" s="18"/>
      <c r="O84" s="18"/>
      <c r="P84" s="18"/>
    </row>
    <row r="85" spans="12:16" ht="15.6" customHeight="1" x14ac:dyDescent="0.3">
      <c r="L85" s="18"/>
      <c r="M85" s="18"/>
      <c r="N85" s="18"/>
      <c r="O85" s="18"/>
      <c r="P85" s="18"/>
    </row>
    <row r="86" spans="12:16" ht="15.6" customHeight="1" x14ac:dyDescent="0.3">
      <c r="L86" s="18"/>
      <c r="M86" s="18"/>
      <c r="N86" s="18"/>
      <c r="O86" s="18"/>
      <c r="P86" s="18"/>
    </row>
    <row r="87" spans="12:16" ht="15.6" customHeight="1" x14ac:dyDescent="0.3">
      <c r="L87" s="18"/>
      <c r="M87" s="18"/>
      <c r="N87" s="18"/>
      <c r="O87" s="18"/>
      <c r="P87" s="18"/>
    </row>
    <row r="88" spans="12:16" ht="15.6" customHeight="1" x14ac:dyDescent="0.3">
      <c r="L88" s="18"/>
      <c r="M88" s="18"/>
      <c r="N88" s="18"/>
      <c r="O88" s="18"/>
      <c r="P88" s="18"/>
    </row>
    <row r="89" spans="12:16" ht="15.6" customHeight="1" x14ac:dyDescent="0.3">
      <c r="L89" s="18"/>
      <c r="M89" s="18"/>
      <c r="N89" s="18"/>
      <c r="O89" s="18"/>
      <c r="P89" s="18"/>
    </row>
    <row r="90" spans="12:16" ht="15.6" customHeight="1" x14ac:dyDescent="0.3">
      <c r="L90" s="18"/>
      <c r="M90" s="18"/>
      <c r="N90" s="18"/>
      <c r="O90" s="18"/>
      <c r="P90" s="18"/>
    </row>
    <row r="91" spans="12:16" ht="15.6" customHeight="1" x14ac:dyDescent="0.3">
      <c r="L91" s="18"/>
      <c r="M91" s="18"/>
      <c r="N91" s="18"/>
      <c r="O91" s="18"/>
      <c r="P91" s="18"/>
    </row>
    <row r="92" spans="12:16" ht="15.6" customHeight="1" x14ac:dyDescent="0.3">
      <c r="L92" s="18"/>
      <c r="M92" s="18"/>
      <c r="N92" s="18"/>
      <c r="O92" s="18"/>
      <c r="P92" s="18"/>
    </row>
    <row r="93" spans="12:16" ht="15.6" customHeight="1" x14ac:dyDescent="0.3">
      <c r="L93" s="18"/>
      <c r="M93" s="18"/>
      <c r="N93" s="18"/>
      <c r="O93" s="18"/>
      <c r="P93" s="18"/>
    </row>
    <row r="94" spans="12:16" ht="15.6" customHeight="1" x14ac:dyDescent="0.3">
      <c r="L94" s="18"/>
      <c r="M94" s="18"/>
      <c r="N94" s="18"/>
      <c r="O94" s="18"/>
      <c r="P94" s="18"/>
    </row>
    <row r="95" spans="12:16" ht="15.6" customHeight="1" x14ac:dyDescent="0.3">
      <c r="L95" s="18"/>
      <c r="M95" s="18"/>
      <c r="N95" s="18"/>
      <c r="O95" s="18"/>
      <c r="P95" s="18"/>
    </row>
    <row r="96" spans="12:16" ht="15.6" customHeight="1" x14ac:dyDescent="0.3">
      <c r="L96" s="18"/>
      <c r="M96" s="18"/>
      <c r="N96" s="18"/>
      <c r="O96" s="18"/>
      <c r="P96" s="18"/>
    </row>
    <row r="97" spans="12:16" ht="15.6" customHeight="1" x14ac:dyDescent="0.3">
      <c r="L97" s="18"/>
      <c r="M97" s="18"/>
      <c r="N97" s="18"/>
      <c r="O97" s="18"/>
      <c r="P97" s="18"/>
    </row>
    <row r="98" spans="12:16" ht="15.6" customHeight="1" x14ac:dyDescent="0.3">
      <c r="L98" s="18"/>
      <c r="M98" s="18"/>
      <c r="N98" s="18"/>
      <c r="O98" s="18"/>
      <c r="P98" s="18"/>
    </row>
    <row r="99" spans="12:16" ht="15.6" customHeight="1" x14ac:dyDescent="0.3">
      <c r="L99" s="18"/>
      <c r="M99" s="18"/>
      <c r="N99" s="18"/>
      <c r="O99" s="18"/>
      <c r="P99" s="18"/>
    </row>
    <row r="100" spans="12:16" ht="15.6" customHeight="1" x14ac:dyDescent="0.3">
      <c r="L100" s="18"/>
      <c r="M100" s="18"/>
      <c r="N100" s="18"/>
      <c r="O100" s="18"/>
      <c r="P100" s="18"/>
    </row>
    <row r="101" spans="12:16" ht="15.6" customHeight="1" x14ac:dyDescent="0.3">
      <c r="L101" s="18"/>
      <c r="M101" s="18"/>
      <c r="N101" s="18"/>
      <c r="O101" s="18"/>
      <c r="P101" s="18"/>
    </row>
    <row r="102" spans="12:16" ht="15.6" customHeight="1" x14ac:dyDescent="0.3">
      <c r="L102" s="18"/>
      <c r="M102" s="18"/>
      <c r="N102" s="18"/>
      <c r="O102" s="18"/>
      <c r="P102" s="18"/>
    </row>
    <row r="103" spans="12:16" ht="15.6" customHeight="1" x14ac:dyDescent="0.3">
      <c r="L103" s="18"/>
      <c r="M103" s="18"/>
      <c r="N103" s="18"/>
      <c r="O103" s="18"/>
      <c r="P103" s="18"/>
    </row>
    <row r="104" spans="12:16" ht="15.6" customHeight="1" x14ac:dyDescent="0.3">
      <c r="L104" s="18"/>
      <c r="M104" s="18"/>
      <c r="N104" s="18"/>
      <c r="O104" s="18"/>
      <c r="P104" s="18"/>
    </row>
    <row r="105" spans="12:16" ht="15.6" customHeight="1" x14ac:dyDescent="0.3">
      <c r="L105" s="18"/>
      <c r="M105" s="18"/>
      <c r="N105" s="18"/>
      <c r="O105" s="18"/>
      <c r="P105" s="18"/>
    </row>
    <row r="106" spans="12:16" ht="15.6" customHeight="1" x14ac:dyDescent="0.3">
      <c r="L106" s="18"/>
      <c r="M106" s="18"/>
      <c r="N106" s="18"/>
      <c r="O106" s="18"/>
      <c r="P106" s="18"/>
    </row>
    <row r="107" spans="12:16" ht="15.6" customHeight="1" x14ac:dyDescent="0.3">
      <c r="L107" s="18"/>
      <c r="M107" s="18"/>
      <c r="N107" s="18"/>
      <c r="O107" s="18"/>
      <c r="P107" s="18"/>
    </row>
    <row r="108" spans="12:16" ht="15.6" customHeight="1" x14ac:dyDescent="0.3">
      <c r="L108" s="18"/>
      <c r="M108" s="18"/>
      <c r="N108" s="18"/>
      <c r="O108" s="18"/>
      <c r="P108" s="18"/>
    </row>
    <row r="109" spans="12:16" ht="15.6" customHeight="1" x14ac:dyDescent="0.3">
      <c r="L109" s="18"/>
      <c r="M109" s="18"/>
      <c r="N109" s="18"/>
      <c r="O109" s="18"/>
      <c r="P109" s="18"/>
    </row>
    <row r="110" spans="12:16" ht="15.6" customHeight="1" x14ac:dyDescent="0.3">
      <c r="L110" s="18"/>
      <c r="M110" s="18"/>
      <c r="N110" s="18"/>
      <c r="O110" s="18"/>
      <c r="P110" s="18"/>
    </row>
    <row r="111" spans="12:16" ht="15.6" customHeight="1" x14ac:dyDescent="0.3">
      <c r="L111" s="18"/>
      <c r="M111" s="18"/>
      <c r="N111" s="18"/>
      <c r="O111" s="18"/>
      <c r="P111" s="18"/>
    </row>
    <row r="112" spans="12:16" ht="15.6" customHeight="1" x14ac:dyDescent="0.3">
      <c r="L112" s="18"/>
      <c r="M112" s="18"/>
      <c r="N112" s="18"/>
      <c r="O112" s="18"/>
      <c r="P112" s="18"/>
    </row>
    <row r="113" spans="12:16" ht="15.6" customHeight="1" x14ac:dyDescent="0.3">
      <c r="L113" s="18"/>
      <c r="M113" s="18"/>
      <c r="N113" s="18"/>
      <c r="O113" s="18"/>
      <c r="P113" s="18"/>
    </row>
    <row r="114" spans="12:16" ht="15.6" customHeight="1" x14ac:dyDescent="0.3">
      <c r="L114" s="18"/>
      <c r="M114" s="18"/>
      <c r="N114" s="18"/>
      <c r="O114" s="18"/>
      <c r="P114" s="18"/>
    </row>
    <row r="115" spans="12:16" ht="15.6" customHeight="1" x14ac:dyDescent="0.3">
      <c r="L115" s="18"/>
      <c r="M115" s="18"/>
      <c r="N115" s="18"/>
      <c r="O115" s="18"/>
      <c r="P115" s="18"/>
    </row>
    <row r="116" spans="12:16" ht="15.6" customHeight="1" x14ac:dyDescent="0.3">
      <c r="L116" s="18"/>
      <c r="M116" s="18"/>
      <c r="N116" s="18"/>
      <c r="O116" s="18"/>
      <c r="P116" s="18"/>
    </row>
    <row r="117" spans="12:16" ht="15.6" customHeight="1" x14ac:dyDescent="0.3">
      <c r="L117" s="18"/>
      <c r="M117" s="18"/>
      <c r="N117" s="18"/>
      <c r="O117" s="18"/>
      <c r="P117" s="18"/>
    </row>
    <row r="118" spans="12:16" ht="15.6" customHeight="1" x14ac:dyDescent="0.3">
      <c r="L118" s="18"/>
      <c r="M118" s="18"/>
      <c r="N118" s="18"/>
      <c r="O118" s="18"/>
      <c r="P118" s="18"/>
    </row>
    <row r="119" spans="12:16" ht="15.6" customHeight="1" x14ac:dyDescent="0.3">
      <c r="L119" s="18"/>
      <c r="M119" s="18"/>
      <c r="N119" s="18"/>
      <c r="O119" s="18"/>
      <c r="P119" s="18"/>
    </row>
    <row r="120" spans="12:16" ht="15.6" customHeight="1" x14ac:dyDescent="0.3">
      <c r="L120" s="18"/>
      <c r="M120" s="18"/>
      <c r="N120" s="18"/>
      <c r="O120" s="18"/>
      <c r="P120" s="18"/>
    </row>
    <row r="121" spans="12:16" ht="15.6" customHeight="1" x14ac:dyDescent="0.3">
      <c r="L121" s="18"/>
      <c r="M121" s="18"/>
      <c r="N121" s="18"/>
      <c r="O121" s="18"/>
      <c r="P121" s="18"/>
    </row>
    <row r="122" spans="12:16" ht="15.6" customHeight="1" x14ac:dyDescent="0.3">
      <c r="L122" s="18"/>
      <c r="M122" s="18"/>
      <c r="N122" s="18"/>
      <c r="O122" s="18"/>
      <c r="P122" s="18"/>
    </row>
    <row r="123" spans="12:16" ht="15.6" customHeight="1" x14ac:dyDescent="0.3">
      <c r="L123" s="18"/>
      <c r="M123" s="18"/>
      <c r="N123" s="18"/>
      <c r="O123" s="18"/>
      <c r="P123" s="18"/>
    </row>
    <row r="124" spans="12:16" ht="15.6" customHeight="1" x14ac:dyDescent="0.3">
      <c r="L124" s="18"/>
      <c r="M124" s="18"/>
      <c r="N124" s="18"/>
      <c r="O124" s="18"/>
      <c r="P124" s="18"/>
    </row>
    <row r="125" spans="12:16" ht="15.6" customHeight="1" x14ac:dyDescent="0.3">
      <c r="L125" s="18"/>
      <c r="M125" s="18"/>
      <c r="N125" s="18"/>
      <c r="O125" s="18"/>
      <c r="P125" s="18"/>
    </row>
    <row r="126" spans="12:16" ht="15.6" customHeight="1" x14ac:dyDescent="0.3">
      <c r="L126" s="18"/>
      <c r="M126" s="18"/>
      <c r="N126" s="18"/>
      <c r="O126" s="18"/>
      <c r="P126" s="18"/>
    </row>
    <row r="127" spans="12:16" ht="15.6" customHeight="1" x14ac:dyDescent="0.3">
      <c r="L127" s="18"/>
      <c r="M127" s="18"/>
      <c r="N127" s="18"/>
      <c r="O127" s="18"/>
      <c r="P127" s="18"/>
    </row>
    <row r="128" spans="12:16" ht="15.6" customHeight="1" x14ac:dyDescent="0.3">
      <c r="L128" s="18"/>
      <c r="M128" s="18"/>
      <c r="N128" s="18"/>
      <c r="O128" s="18"/>
      <c r="P128" s="18"/>
    </row>
    <row r="129" spans="12:16" ht="15.6" customHeight="1" x14ac:dyDescent="0.3">
      <c r="L129" s="18"/>
      <c r="M129" s="18"/>
      <c r="N129" s="18"/>
      <c r="O129" s="18"/>
      <c r="P129" s="18"/>
    </row>
    <row r="130" spans="12:16" ht="15.6" customHeight="1" x14ac:dyDescent="0.3">
      <c r="L130" s="18"/>
      <c r="M130" s="18"/>
      <c r="N130" s="18"/>
      <c r="O130" s="18"/>
      <c r="P130" s="18"/>
    </row>
    <row r="131" spans="12:16" ht="15.6" customHeight="1" x14ac:dyDescent="0.3">
      <c r="L131" s="18"/>
      <c r="M131" s="18"/>
      <c r="N131" s="18"/>
      <c r="O131" s="18"/>
      <c r="P131" s="18"/>
    </row>
    <row r="132" spans="12:16" ht="15.6" customHeight="1" x14ac:dyDescent="0.3">
      <c r="L132" s="18"/>
      <c r="M132" s="18"/>
      <c r="N132" s="18"/>
      <c r="O132" s="18"/>
      <c r="P132" s="18"/>
    </row>
    <row r="133" spans="12:16" ht="15.6" customHeight="1" x14ac:dyDescent="0.3">
      <c r="L133" s="18"/>
      <c r="M133" s="18"/>
      <c r="N133" s="18"/>
      <c r="O133" s="18"/>
      <c r="P133" s="18"/>
    </row>
    <row r="134" spans="12:16" ht="15.6" customHeight="1" x14ac:dyDescent="0.3">
      <c r="L134" s="18"/>
      <c r="M134" s="18"/>
      <c r="N134" s="18"/>
      <c r="O134" s="18"/>
      <c r="P134" s="18"/>
    </row>
    <row r="135" spans="12:16" ht="15.6" customHeight="1" x14ac:dyDescent="0.3">
      <c r="L135" s="18"/>
      <c r="M135" s="18"/>
      <c r="N135" s="18"/>
      <c r="O135" s="18"/>
      <c r="P135" s="18"/>
    </row>
    <row r="136" spans="12:16" ht="15.6" customHeight="1" x14ac:dyDescent="0.3">
      <c r="L136" s="18"/>
      <c r="M136" s="18"/>
      <c r="N136" s="18"/>
      <c r="O136" s="18"/>
      <c r="P136" s="18"/>
    </row>
    <row r="137" spans="12:16" ht="15.6" customHeight="1" x14ac:dyDescent="0.3">
      <c r="L137" s="18"/>
      <c r="M137" s="18"/>
      <c r="N137" s="18"/>
      <c r="O137" s="18"/>
      <c r="P137" s="18"/>
    </row>
    <row r="138" spans="12:16" ht="15.6" customHeight="1" x14ac:dyDescent="0.3">
      <c r="L138" s="18"/>
      <c r="M138" s="18"/>
      <c r="N138" s="18"/>
      <c r="O138" s="18"/>
      <c r="P138" s="18"/>
    </row>
    <row r="139" spans="12:16" ht="15.6" customHeight="1" x14ac:dyDescent="0.3">
      <c r="L139" s="18"/>
      <c r="M139" s="18"/>
      <c r="N139" s="18"/>
      <c r="O139" s="18"/>
      <c r="P139" s="18"/>
    </row>
    <row r="140" spans="12:16" ht="15.6" customHeight="1" x14ac:dyDescent="0.3">
      <c r="L140" s="18"/>
      <c r="M140" s="18"/>
      <c r="N140" s="18"/>
      <c r="O140" s="18"/>
      <c r="P140" s="18"/>
    </row>
    <row r="141" spans="12:16" ht="15.6" customHeight="1" x14ac:dyDescent="0.3">
      <c r="L141" s="18"/>
      <c r="M141" s="18"/>
      <c r="N141" s="18"/>
      <c r="O141" s="18"/>
      <c r="P141" s="18"/>
    </row>
    <row r="142" spans="12:16" ht="15.6" customHeight="1" x14ac:dyDescent="0.3">
      <c r="L142" s="18"/>
      <c r="M142" s="18"/>
      <c r="N142" s="18"/>
      <c r="O142" s="18"/>
      <c r="P142" s="18"/>
    </row>
    <row r="143" spans="12:16" ht="15.6" customHeight="1" x14ac:dyDescent="0.3">
      <c r="L143" s="18"/>
      <c r="M143" s="18"/>
      <c r="N143" s="18"/>
      <c r="O143" s="18"/>
      <c r="P143" s="18"/>
    </row>
    <row r="144" spans="12:16" ht="15.6" customHeight="1" x14ac:dyDescent="0.3">
      <c r="L144" s="18"/>
      <c r="M144" s="18"/>
      <c r="N144" s="18"/>
      <c r="O144" s="18"/>
      <c r="P144" s="18"/>
    </row>
    <row r="145" spans="12:16" ht="15.6" customHeight="1" x14ac:dyDescent="0.3">
      <c r="L145" s="18"/>
      <c r="M145" s="18"/>
      <c r="N145" s="18"/>
      <c r="O145" s="18"/>
      <c r="P145" s="18"/>
    </row>
    <row r="146" spans="12:16" ht="15.6" customHeight="1" x14ac:dyDescent="0.3">
      <c r="L146" s="18"/>
      <c r="M146" s="18"/>
      <c r="N146" s="18"/>
      <c r="O146" s="18"/>
      <c r="P146" s="18"/>
    </row>
    <row r="147" spans="12:16" ht="15.6" customHeight="1" x14ac:dyDescent="0.3">
      <c r="L147" s="18"/>
      <c r="M147" s="18"/>
      <c r="N147" s="18"/>
      <c r="O147" s="18"/>
      <c r="P147" s="18"/>
    </row>
    <row r="148" spans="12:16" ht="15.6" customHeight="1" x14ac:dyDescent="0.3">
      <c r="L148" s="18"/>
      <c r="M148" s="18"/>
      <c r="N148" s="18"/>
      <c r="O148" s="18"/>
      <c r="P148" s="18"/>
    </row>
    <row r="149" spans="12:16" ht="15.6" customHeight="1" x14ac:dyDescent="0.3">
      <c r="L149" s="18"/>
      <c r="M149" s="18"/>
      <c r="N149" s="18"/>
      <c r="O149" s="18"/>
      <c r="P149" s="18"/>
    </row>
    <row r="150" spans="12:16" ht="15.6" customHeight="1" x14ac:dyDescent="0.3">
      <c r="L150" s="18"/>
      <c r="M150" s="18"/>
      <c r="N150" s="18"/>
      <c r="O150" s="18"/>
      <c r="P150" s="18"/>
    </row>
    <row r="151" spans="12:16" ht="15.6" customHeight="1" x14ac:dyDescent="0.3">
      <c r="L151" s="18"/>
      <c r="M151" s="18"/>
      <c r="N151" s="18"/>
      <c r="O151" s="18"/>
      <c r="P151" s="18"/>
    </row>
    <row r="152" spans="12:16" ht="15.6" customHeight="1" x14ac:dyDescent="0.3">
      <c r="L152" s="18"/>
      <c r="M152" s="18"/>
      <c r="N152" s="18"/>
      <c r="O152" s="18"/>
      <c r="P152" s="18"/>
    </row>
    <row r="153" spans="12:16" ht="15.6" customHeight="1" x14ac:dyDescent="0.3">
      <c r="L153" s="18"/>
      <c r="M153" s="18"/>
      <c r="N153" s="18"/>
      <c r="O153" s="18"/>
      <c r="P153" s="18"/>
    </row>
    <row r="154" spans="12:16" ht="15.6" customHeight="1" x14ac:dyDescent="0.3">
      <c r="L154" s="18"/>
      <c r="M154" s="18"/>
      <c r="N154" s="18"/>
      <c r="O154" s="18"/>
      <c r="P154" s="18"/>
    </row>
    <row r="155" spans="12:16" ht="15.6" customHeight="1" x14ac:dyDescent="0.3">
      <c r="L155" s="18"/>
      <c r="M155" s="18"/>
      <c r="N155" s="18"/>
      <c r="O155" s="18"/>
      <c r="P155" s="18"/>
    </row>
    <row r="156" spans="12:16" ht="15.6" customHeight="1" x14ac:dyDescent="0.3">
      <c r="L156" s="18"/>
      <c r="M156" s="18"/>
      <c r="N156" s="18"/>
      <c r="O156" s="18"/>
      <c r="P156" s="18"/>
    </row>
    <row r="157" spans="12:16" ht="15.6" customHeight="1" x14ac:dyDescent="0.3">
      <c r="L157" s="18"/>
      <c r="M157" s="18"/>
      <c r="N157" s="18"/>
      <c r="O157" s="18"/>
      <c r="P157" s="18"/>
    </row>
    <row r="158" spans="12:16" ht="15.6" customHeight="1" x14ac:dyDescent="0.3">
      <c r="L158" s="18"/>
      <c r="M158" s="18"/>
      <c r="N158" s="18"/>
      <c r="O158" s="18"/>
      <c r="P158" s="18"/>
    </row>
    <row r="159" spans="12:16" ht="15.6" customHeight="1" x14ac:dyDescent="0.3">
      <c r="L159" s="18"/>
      <c r="M159" s="18"/>
      <c r="N159" s="18"/>
      <c r="O159" s="18"/>
      <c r="P159" s="18"/>
    </row>
    <row r="160" spans="12:16" ht="15.6" customHeight="1" x14ac:dyDescent="0.3">
      <c r="L160" s="18"/>
      <c r="M160" s="18"/>
      <c r="N160" s="18"/>
      <c r="O160" s="18"/>
      <c r="P160" s="18"/>
    </row>
    <row r="161" spans="12:16" ht="15.6" customHeight="1" x14ac:dyDescent="0.3">
      <c r="L161" s="18"/>
      <c r="M161" s="18"/>
      <c r="N161" s="18"/>
      <c r="O161" s="18"/>
      <c r="P161" s="18"/>
    </row>
    <row r="162" spans="12:16" ht="15.6" customHeight="1" x14ac:dyDescent="0.3">
      <c r="L162" s="18"/>
      <c r="M162" s="18"/>
      <c r="N162" s="18"/>
      <c r="O162" s="18"/>
      <c r="P162" s="18"/>
    </row>
    <row r="163" spans="12:16" ht="15.6" customHeight="1" x14ac:dyDescent="0.3">
      <c r="L163" s="18"/>
      <c r="M163" s="18"/>
      <c r="N163" s="18"/>
      <c r="O163" s="18"/>
      <c r="P163" s="18"/>
    </row>
    <row r="164" spans="12:16" ht="15.6" customHeight="1" x14ac:dyDescent="0.3">
      <c r="L164" s="18"/>
      <c r="M164" s="18"/>
      <c r="N164" s="18"/>
      <c r="O164" s="18"/>
      <c r="P164" s="18"/>
    </row>
    <row r="165" spans="12:16" ht="15.6" customHeight="1" x14ac:dyDescent="0.3">
      <c r="L165" s="18"/>
      <c r="M165" s="18"/>
      <c r="N165" s="18"/>
      <c r="O165" s="18"/>
      <c r="P165" s="18"/>
    </row>
    <row r="166" spans="12:16" ht="15.6" customHeight="1" x14ac:dyDescent="0.3">
      <c r="L166" s="18"/>
      <c r="M166" s="18"/>
      <c r="N166" s="18"/>
      <c r="O166" s="18"/>
      <c r="P166" s="18"/>
    </row>
    <row r="167" spans="12:16" ht="15.6" customHeight="1" x14ac:dyDescent="0.3">
      <c r="L167" s="18"/>
      <c r="M167" s="18"/>
      <c r="N167" s="18"/>
      <c r="O167" s="18"/>
      <c r="P167" s="18"/>
    </row>
    <row r="168" spans="12:16" ht="15.6" customHeight="1" x14ac:dyDescent="0.3">
      <c r="L168" s="18"/>
      <c r="M168" s="18"/>
      <c r="N168" s="18"/>
      <c r="O168" s="18"/>
      <c r="P168" s="18"/>
    </row>
    <row r="169" spans="12:16" ht="15.6" customHeight="1" x14ac:dyDescent="0.3">
      <c r="L169" s="18"/>
      <c r="M169" s="18"/>
      <c r="N169" s="18"/>
      <c r="O169" s="18"/>
      <c r="P169" s="18"/>
    </row>
    <row r="170" spans="12:16" ht="15.6" customHeight="1" x14ac:dyDescent="0.3">
      <c r="L170" s="18"/>
      <c r="M170" s="18"/>
      <c r="N170" s="18"/>
      <c r="O170" s="18"/>
      <c r="P170" s="18"/>
    </row>
    <row r="171" spans="12:16" ht="15.6" customHeight="1" x14ac:dyDescent="0.3">
      <c r="L171" s="18"/>
      <c r="M171" s="18"/>
      <c r="N171" s="18"/>
      <c r="O171" s="18"/>
      <c r="P171" s="18"/>
    </row>
    <row r="172" spans="12:16" ht="15.6" customHeight="1" x14ac:dyDescent="0.3">
      <c r="L172" s="18"/>
      <c r="M172" s="18"/>
      <c r="N172" s="18"/>
      <c r="O172" s="18"/>
      <c r="P172" s="18"/>
    </row>
    <row r="173" spans="12:16" ht="15.6" customHeight="1" x14ac:dyDescent="0.3">
      <c r="L173" s="18"/>
      <c r="M173" s="18"/>
      <c r="N173" s="18"/>
      <c r="O173" s="18"/>
      <c r="P173" s="18"/>
    </row>
    <row r="174" spans="12:16" ht="15.6" customHeight="1" x14ac:dyDescent="0.3">
      <c r="L174" s="18"/>
      <c r="M174" s="18"/>
      <c r="N174" s="18"/>
      <c r="O174" s="18"/>
      <c r="P174" s="18"/>
    </row>
    <row r="175" spans="12:16" ht="15.6" customHeight="1" x14ac:dyDescent="0.3">
      <c r="L175" s="18"/>
      <c r="M175" s="18"/>
      <c r="N175" s="18"/>
      <c r="O175" s="18"/>
      <c r="P175" s="18"/>
    </row>
    <row r="176" spans="12:16" ht="15.6" customHeight="1" x14ac:dyDescent="0.3">
      <c r="L176" s="18"/>
      <c r="M176" s="18"/>
      <c r="N176" s="18"/>
      <c r="O176" s="18"/>
      <c r="P176" s="18"/>
    </row>
    <row r="177" spans="12:16" ht="15.6" customHeight="1" x14ac:dyDescent="0.3">
      <c r="L177" s="18"/>
      <c r="M177" s="18"/>
      <c r="N177" s="18"/>
      <c r="O177" s="18"/>
      <c r="P177" s="18"/>
    </row>
    <row r="178" spans="12:16" ht="15.6" customHeight="1" x14ac:dyDescent="0.3">
      <c r="L178" s="18"/>
      <c r="M178" s="18"/>
      <c r="N178" s="18"/>
      <c r="O178" s="18"/>
      <c r="P178" s="18"/>
    </row>
    <row r="179" spans="12:16" ht="15.6" customHeight="1" x14ac:dyDescent="0.3">
      <c r="L179" s="18"/>
      <c r="M179" s="18"/>
      <c r="N179" s="18"/>
      <c r="O179" s="18"/>
      <c r="P179" s="18"/>
    </row>
    <row r="180" spans="12:16" ht="15.6" customHeight="1" x14ac:dyDescent="0.3">
      <c r="L180" s="18"/>
      <c r="M180" s="18"/>
      <c r="N180" s="18"/>
      <c r="O180" s="18"/>
      <c r="P180" s="18"/>
    </row>
    <row r="181" spans="12:16" ht="15.6" customHeight="1" x14ac:dyDescent="0.3">
      <c r="L181" s="18"/>
      <c r="M181" s="18"/>
      <c r="N181" s="18"/>
      <c r="O181" s="18"/>
      <c r="P181" s="18"/>
    </row>
    <row r="182" spans="12:16" ht="15.6" customHeight="1" x14ac:dyDescent="0.3">
      <c r="L182" s="18"/>
      <c r="M182" s="18"/>
      <c r="N182" s="18"/>
      <c r="O182" s="18"/>
      <c r="P182" s="18"/>
    </row>
    <row r="183" spans="12:16" ht="15.6" customHeight="1" x14ac:dyDescent="0.3">
      <c r="L183" s="18"/>
      <c r="M183" s="18"/>
      <c r="N183" s="18"/>
      <c r="O183" s="18"/>
      <c r="P183" s="18"/>
    </row>
    <row r="184" spans="12:16" ht="15.6" customHeight="1" x14ac:dyDescent="0.3">
      <c r="L184" s="18"/>
      <c r="M184" s="18"/>
      <c r="N184" s="18"/>
      <c r="O184" s="18"/>
      <c r="P184" s="18"/>
    </row>
    <row r="185" spans="12:16" ht="15.6" customHeight="1" x14ac:dyDescent="0.3">
      <c r="L185" s="18"/>
      <c r="M185" s="18"/>
      <c r="N185" s="18"/>
      <c r="O185" s="18"/>
      <c r="P185" s="18"/>
    </row>
    <row r="186" spans="12:16" ht="15.6" customHeight="1" x14ac:dyDescent="0.3">
      <c r="L186" s="18"/>
      <c r="M186" s="18"/>
      <c r="N186" s="18"/>
      <c r="O186" s="18"/>
      <c r="P186" s="18"/>
    </row>
    <row r="187" spans="12:16" ht="15.6" customHeight="1" x14ac:dyDescent="0.3">
      <c r="L187" s="18"/>
      <c r="M187" s="18"/>
      <c r="N187" s="18"/>
      <c r="O187" s="18"/>
      <c r="P187" s="18"/>
    </row>
    <row r="188" spans="12:16" ht="15.6" customHeight="1" x14ac:dyDescent="0.3">
      <c r="L188" s="18"/>
      <c r="M188" s="18"/>
      <c r="N188" s="18"/>
      <c r="O188" s="18"/>
      <c r="P188" s="18"/>
    </row>
    <row r="189" spans="12:16" ht="15.6" customHeight="1" x14ac:dyDescent="0.3">
      <c r="L189" s="18"/>
      <c r="M189" s="18"/>
      <c r="N189" s="18"/>
      <c r="O189" s="18"/>
      <c r="P189" s="18"/>
    </row>
    <row r="190" spans="12:16" ht="15.6" customHeight="1" x14ac:dyDescent="0.3">
      <c r="L190" s="18"/>
      <c r="M190" s="18"/>
      <c r="N190" s="18"/>
      <c r="O190" s="18"/>
      <c r="P190" s="18"/>
    </row>
    <row r="191" spans="12:16" ht="15.6" customHeight="1" x14ac:dyDescent="0.3">
      <c r="L191" s="18"/>
      <c r="M191" s="18"/>
      <c r="N191" s="18"/>
      <c r="O191" s="18"/>
      <c r="P191" s="18"/>
    </row>
  </sheetData>
  <autoFilter ref="A6:P18" xr:uid="{00000000-0009-0000-0000-000000000000}">
    <sortState xmlns:xlrd2="http://schemas.microsoft.com/office/spreadsheetml/2017/richdata2" ref="A7:P18">
      <sortCondition ref="A6"/>
    </sortState>
  </autoFilter>
  <mergeCells count="10">
    <mergeCell ref="A49:B49"/>
    <mergeCell ref="A47:B47"/>
    <mergeCell ref="A42:B42"/>
    <mergeCell ref="A45:B45"/>
    <mergeCell ref="A40:B40"/>
    <mergeCell ref="A20:F20"/>
    <mergeCell ref="A38:C38"/>
    <mergeCell ref="B2:D2"/>
    <mergeCell ref="A24:B24"/>
    <mergeCell ref="A43:B43"/>
  </mergeCells>
  <conditionalFormatting sqref="D1:D6 D8:D16 D18:D1048576">
    <cfRule type="duplicateValues" dxfId="51" priority="48"/>
    <cfRule type="duplicateValues" dxfId="50" priority="49"/>
  </conditionalFormatting>
  <conditionalFormatting sqref="D1:D6 D9 D13 D15:D16 D18:D1048576">
    <cfRule type="duplicateValues" dxfId="49" priority="144"/>
  </conditionalFormatting>
  <conditionalFormatting sqref="D1:D6 D9 D18:D1048576">
    <cfRule type="duplicateValues" dxfId="48" priority="156"/>
  </conditionalFormatting>
  <conditionalFormatting sqref="D1:D6 D18:D1048576">
    <cfRule type="duplicateValues" dxfId="47" priority="174"/>
  </conditionalFormatting>
  <conditionalFormatting sqref="D6 D18">
    <cfRule type="duplicateValues" dxfId="46" priority="312"/>
  </conditionalFormatting>
  <conditionalFormatting sqref="D7">
    <cfRule type="duplicateValues" dxfId="45" priority="29"/>
    <cfRule type="duplicateValues" dxfId="44" priority="38"/>
    <cfRule type="duplicateValues" dxfId="43" priority="39"/>
  </conditionalFormatting>
  <conditionalFormatting sqref="D8">
    <cfRule type="duplicateValues" dxfId="42" priority="116"/>
    <cfRule type="duplicateValues" dxfId="41" priority="115"/>
    <cfRule type="duplicateValues" dxfId="40" priority="114"/>
    <cfRule type="duplicateValues" dxfId="39" priority="112"/>
    <cfRule type="duplicateValues" dxfId="38" priority="113"/>
    <cfRule type="duplicateValues" dxfId="37" priority="111"/>
    <cfRule type="duplicateValues" dxfId="36" priority="110"/>
    <cfRule type="duplicateValues" dxfId="35" priority="109"/>
    <cfRule type="duplicateValues" dxfId="34" priority="108"/>
    <cfRule type="duplicateValues" dxfId="33" priority="107"/>
    <cfRule type="duplicateValues" dxfId="32" priority="117"/>
  </conditionalFormatting>
  <conditionalFormatting sqref="D9">
    <cfRule type="duplicateValues" dxfId="31" priority="159"/>
    <cfRule type="duplicateValues" dxfId="30" priority="160"/>
  </conditionalFormatting>
  <conditionalFormatting sqref="D10">
    <cfRule type="duplicateValues" dxfId="29" priority="106"/>
    <cfRule type="duplicateValues" dxfId="28" priority="96"/>
    <cfRule type="duplicateValues" dxfId="27" priority="105"/>
  </conditionalFormatting>
  <conditionalFormatting sqref="D11">
    <cfRule type="duplicateValues" dxfId="26" priority="82"/>
    <cfRule type="duplicateValues" dxfId="25" priority="77"/>
    <cfRule type="duplicateValues" dxfId="24" priority="84"/>
    <cfRule type="duplicateValues" dxfId="23" priority="85"/>
    <cfRule type="duplicateValues" dxfId="22" priority="86"/>
    <cfRule type="duplicateValues" dxfId="21" priority="87"/>
    <cfRule type="duplicateValues" dxfId="20" priority="83"/>
    <cfRule type="duplicateValues" dxfId="19" priority="75"/>
    <cfRule type="duplicateValues" dxfId="18" priority="76"/>
    <cfRule type="duplicateValues" dxfId="17" priority="78"/>
    <cfRule type="duplicateValues" dxfId="16" priority="79"/>
    <cfRule type="duplicateValues" dxfId="15" priority="80"/>
    <cfRule type="duplicateValues" dxfId="14" priority="81"/>
  </conditionalFormatting>
  <conditionalFormatting sqref="D12">
    <cfRule type="duplicateValues" dxfId="13" priority="66"/>
    <cfRule type="duplicateValues" dxfId="12" priority="61"/>
    <cfRule type="duplicateValues" dxfId="11" priority="65"/>
    <cfRule type="duplicateValues" dxfId="10" priority="64"/>
    <cfRule type="duplicateValues" dxfId="9" priority="63"/>
    <cfRule type="duplicateValues" dxfId="8" priority="62"/>
  </conditionalFormatting>
  <conditionalFormatting sqref="D13 D15:D16">
    <cfRule type="duplicateValues" dxfId="7" priority="429"/>
  </conditionalFormatting>
  <conditionalFormatting sqref="D14">
    <cfRule type="duplicateValues" dxfId="6" priority="60"/>
    <cfRule type="duplicateValues" dxfId="5" priority="59"/>
    <cfRule type="duplicateValues" dxfId="4" priority="50"/>
  </conditionalFormatting>
  <conditionalFormatting sqref="D17">
    <cfRule type="duplicateValues" dxfId="3" priority="46"/>
    <cfRule type="duplicateValues" dxfId="2" priority="45"/>
    <cfRule type="duplicateValues" dxfId="1" priority="44"/>
    <cfRule type="duplicateValues" dxfId="0" priority="47"/>
  </conditionalFormatting>
  <pageMargins left="0.70866141732283472" right="0.70866141732283472" top="0.74803149606299213" bottom="0.74803149606299213" header="0.31496062992125978" footer="0.31496062992125978"/>
  <pageSetup paperSize="9" scale="54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Compras</vt:lpstr>
      <vt:lpstr>Compras!Área_de_impresión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Gonzalo Reggi</cp:lastModifiedBy>
  <cp:lastPrinted>2023-07-06T00:10:07Z</cp:lastPrinted>
  <dcterms:created xsi:type="dcterms:W3CDTF">2018-02-05T12:45:49Z</dcterms:created>
  <dcterms:modified xsi:type="dcterms:W3CDTF">2026-02-01T19:59:56Z</dcterms:modified>
</cp:coreProperties>
</file>